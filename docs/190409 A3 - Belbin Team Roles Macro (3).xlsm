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09" codeName="{326BA218-B054-8778-C3B9-1B04C7A2A785}"/>
  <workbookPr codeName="ThisWorkbook" defaultThemeVersion="124226"/>
  <mc:AlternateContent xmlns:mc="http://schemas.openxmlformats.org/markup-compatibility/2006">
    <mc:Choice Requires="x15">
      <x15ac:absPath xmlns:x15ac="http://schemas.microsoft.com/office/spreadsheetml/2010/11/ac" url="/Users/philipcook/University/BSc (Hons) Project Management/Principles of Project Management (U26842)/Week 6/"/>
    </mc:Choice>
  </mc:AlternateContent>
  <xr:revisionPtr revIDLastSave="0" documentId="13_ncr:1_{84EE0FDF-4427-DA4E-981E-83E16C5D0AE1}" xr6:coauthVersionLast="45" xr6:coauthVersionMax="45" xr10:uidLastSave="{00000000-0000-0000-0000-000000000000}"/>
  <bookViews>
    <workbookView xWindow="0" yWindow="460" windowWidth="28800" windowHeight="17540" activeTab="1" xr2:uid="{00000000-000D-0000-FFFF-FFFF00000000}"/>
  </bookViews>
  <sheets>
    <sheet name="Questionnaire" sheetId="2" r:id="rId1"/>
    <sheet name="Team Roles Profile" sheetId="3" r:id="rId2"/>
    <sheet name="Belbin" sheetId="4" r:id="rId3"/>
  </sheets>
  <definedNames>
    <definedName name="_bla" localSheetId="2" hidden="1">#REF!</definedName>
    <definedName name="_bla" localSheetId="0" hidden="1">#REF!</definedName>
    <definedName name="_bla" localSheetId="1" hidden="1">#REF!</definedName>
    <definedName name="_bla" hidden="1">#REF!</definedName>
    <definedName name="_blah" localSheetId="2" hidden="1">#REF!</definedName>
    <definedName name="_blah" localSheetId="0" hidden="1">#REF!</definedName>
    <definedName name="_blah" localSheetId="1" hidden="1">#REF!</definedName>
    <definedName name="_blah" hidden="1">#REF!</definedName>
    <definedName name="_Key1" localSheetId="2" hidden="1">#REF!</definedName>
    <definedName name="_Key1" localSheetId="0" hidden="1">#REF!</definedName>
    <definedName name="_Key1" localSheetId="1" hidden="1">#REF!</definedName>
    <definedName name="_Key1" hidden="1">#REF!</definedName>
    <definedName name="_Key2" localSheetId="2" hidden="1">#REF!</definedName>
    <definedName name="_Key2" localSheetId="0" hidden="1">#REF!</definedName>
    <definedName name="_Key2" localSheetId="1" hidden="1">#REF!</definedName>
    <definedName name="_Key2" hidden="1">#REF!</definedName>
    <definedName name="_Order1" hidden="1">0</definedName>
    <definedName name="_Order2" hidden="1">255</definedName>
    <definedName name="_Sort" localSheetId="2" hidden="1">#REF!</definedName>
    <definedName name="_Sort" localSheetId="0" hidden="1">#REF!</definedName>
    <definedName name="_Sort" localSheetId="1" hidden="1">#REF!</definedName>
    <definedName name="_Sort" hidden="1">#REF!</definedName>
    <definedName name="Month" localSheetId="2">#REF!</definedName>
    <definedName name="Month" localSheetId="0">#REF!</definedName>
    <definedName name="Month" localSheetId="1">#REF!</definedName>
    <definedName name="Month">#REF!</definedName>
    <definedName name="Multiplier" localSheetId="2">#REF!</definedName>
    <definedName name="Multiplier" localSheetId="0">#REF!</definedName>
    <definedName name="Multiplier" localSheetId="1">#REF!</definedName>
    <definedName name="Multiplier">#REF!</definedName>
    <definedName name="_xlnm.Print_Area" localSheetId="2">Belbin!$A$1:$BC$46</definedName>
    <definedName name="_xlnm.Print_Area" localSheetId="0">Questionnaire!$A$1:$BC$68</definedName>
    <definedName name="_xlnm.Print_Area" localSheetId="1">'Team Roles Profile'!$B$2:$BD$47</definedName>
    <definedName name="ss" localSheetId="2" hidden="1">#REF!</definedName>
    <definedName name="ss" localSheetId="0" hidden="1">#REF!</definedName>
    <definedName name="ss" localSheetId="1" hidden="1">#REF!</definedName>
    <definedName name="ss" hidden="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 i="3" l="1"/>
  <c r="O6" i="4" l="1"/>
  <c r="P7" i="3" l="1"/>
  <c r="J2" i="2"/>
  <c r="AR25" i="3" l="1"/>
  <c r="N76" i="2" l="1"/>
  <c r="AG58" i="3" l="1"/>
  <c r="T54" i="2" l="1"/>
  <c r="BE50" i="3"/>
  <c r="O80" i="2" l="1"/>
  <c r="I42" i="3"/>
  <c r="Z35" i="3" l="1"/>
  <c r="AP19" i="2"/>
  <c r="AP36" i="2"/>
  <c r="R54" i="3" l="1"/>
  <c r="R55" i="3"/>
  <c r="R56" i="3"/>
  <c r="R57" i="3"/>
  <c r="T60" i="3"/>
  <c r="T61" i="3"/>
  <c r="R53" i="3"/>
  <c r="R52" i="3"/>
  <c r="R51" i="3"/>
  <c r="R50" i="3"/>
  <c r="I54" i="3"/>
  <c r="J54" i="3"/>
  <c r="K54" i="3"/>
  <c r="L54" i="3"/>
  <c r="M54" i="3"/>
  <c r="N54" i="3"/>
  <c r="O54" i="3"/>
  <c r="I58" i="3"/>
  <c r="J58" i="3"/>
  <c r="K58" i="3"/>
  <c r="L58" i="3"/>
  <c r="M58" i="3"/>
  <c r="N58" i="3"/>
  <c r="O58" i="3"/>
  <c r="I59" i="3"/>
  <c r="J59" i="3"/>
  <c r="K59" i="3"/>
  <c r="L59" i="3"/>
  <c r="M59" i="3"/>
  <c r="N59" i="3"/>
  <c r="O59" i="3"/>
  <c r="H77" i="2"/>
  <c r="P54" i="3"/>
  <c r="P58" i="3"/>
  <c r="P59" i="3"/>
  <c r="N82" i="2"/>
  <c r="O61" i="3" s="1"/>
  <c r="M82" i="2"/>
  <c r="N61" i="3" s="1"/>
  <c r="L82" i="2"/>
  <c r="M61" i="3" s="1"/>
  <c r="N81" i="2"/>
  <c r="O60" i="3" s="1"/>
  <c r="M81" i="2"/>
  <c r="N60" i="3" s="1"/>
  <c r="L81" i="2"/>
  <c r="M60" i="3" s="1"/>
  <c r="N78" i="2"/>
  <c r="O57" i="3" s="1"/>
  <c r="M78" i="2"/>
  <c r="N57" i="3" s="1"/>
  <c r="L78" i="2"/>
  <c r="M57" i="3" s="1"/>
  <c r="N77" i="2"/>
  <c r="O56" i="3" s="1"/>
  <c r="M77" i="2"/>
  <c r="N56" i="3" s="1"/>
  <c r="L77" i="2"/>
  <c r="M56" i="3" s="1"/>
  <c r="O55" i="3"/>
  <c r="M76" i="2"/>
  <c r="N55" i="3" s="1"/>
  <c r="L76" i="2"/>
  <c r="M55" i="3" s="1"/>
  <c r="N74" i="2"/>
  <c r="O53" i="3" s="1"/>
  <c r="M74" i="2"/>
  <c r="N53" i="3" s="1"/>
  <c r="L74" i="2"/>
  <c r="M53" i="3" s="1"/>
  <c r="N73" i="2"/>
  <c r="O52" i="3" s="1"/>
  <c r="M73" i="2"/>
  <c r="N52" i="3" s="1"/>
  <c r="L73" i="2"/>
  <c r="M52" i="3" s="1"/>
  <c r="N72" i="2"/>
  <c r="O51" i="3" s="1"/>
  <c r="M72" i="2"/>
  <c r="N51" i="3" s="1"/>
  <c r="L72" i="2"/>
  <c r="M51" i="3" s="1"/>
  <c r="K82" i="2"/>
  <c r="L61" i="3" s="1"/>
  <c r="J82" i="2"/>
  <c r="K61" i="3" s="1"/>
  <c r="I82" i="2"/>
  <c r="J61" i="3" s="1"/>
  <c r="H82" i="2"/>
  <c r="K81" i="2"/>
  <c r="J81" i="2"/>
  <c r="K60" i="3" s="1"/>
  <c r="I81" i="2"/>
  <c r="J60" i="3" s="1"/>
  <c r="H81" i="2"/>
  <c r="K78" i="2"/>
  <c r="L57" i="3" s="1"/>
  <c r="J78" i="2"/>
  <c r="K57" i="3" s="1"/>
  <c r="I78" i="2"/>
  <c r="J57" i="3" s="1"/>
  <c r="H78" i="2"/>
  <c r="K77" i="2"/>
  <c r="L56" i="3" s="1"/>
  <c r="J77" i="2"/>
  <c r="I77" i="2"/>
  <c r="J56" i="3" s="1"/>
  <c r="K76" i="2"/>
  <c r="L55" i="3" s="1"/>
  <c r="J76" i="2"/>
  <c r="K55" i="3" s="1"/>
  <c r="I76" i="2"/>
  <c r="J55" i="3" s="1"/>
  <c r="H76" i="2"/>
  <c r="K74" i="2"/>
  <c r="L53" i="3" s="1"/>
  <c r="J74" i="2"/>
  <c r="K53" i="3" s="1"/>
  <c r="I74" i="2"/>
  <c r="J53" i="3" s="1"/>
  <c r="H74" i="2"/>
  <c r="K73" i="2"/>
  <c r="J73" i="2"/>
  <c r="K52" i="3" s="1"/>
  <c r="I73" i="2"/>
  <c r="H73" i="2"/>
  <c r="I52" i="3" s="1"/>
  <c r="K72" i="2"/>
  <c r="L51" i="3" s="1"/>
  <c r="J72" i="2"/>
  <c r="K51" i="3" s="1"/>
  <c r="I72" i="2"/>
  <c r="H72" i="2"/>
  <c r="AP9" i="2"/>
  <c r="T41" i="2"/>
  <c r="T23" i="2"/>
  <c r="T9" i="2"/>
  <c r="O82" i="2" l="1"/>
  <c r="P61" i="3" s="1"/>
  <c r="R25" i="3" s="1"/>
  <c r="O78" i="2"/>
  <c r="P57" i="3" s="1"/>
  <c r="R20" i="3" s="1"/>
  <c r="I51" i="3"/>
  <c r="O72" i="2"/>
  <c r="P51" i="3" s="1"/>
  <c r="I53" i="3"/>
  <c r="O74" i="2"/>
  <c r="P53" i="3" s="1"/>
  <c r="I55" i="3"/>
  <c r="O76" i="2"/>
  <c r="P55" i="3" s="1"/>
  <c r="I56" i="3"/>
  <c r="O77" i="2"/>
  <c r="P56" i="3" s="1"/>
  <c r="L60" i="3"/>
  <c r="O81" i="2"/>
  <c r="P60" i="3" s="1"/>
  <c r="K25" i="3" s="1"/>
  <c r="L52" i="3"/>
  <c r="O73" i="2"/>
  <c r="P52" i="3" s="1"/>
  <c r="J52" i="3"/>
  <c r="J51" i="3"/>
  <c r="I61" i="3"/>
  <c r="I60" i="3"/>
  <c r="I57" i="3"/>
  <c r="K56" i="3"/>
  <c r="O83" i="2" l="1"/>
  <c r="X55" i="3"/>
  <c r="AF34" i="3" s="1"/>
  <c r="X56" i="3"/>
  <c r="X57" i="3"/>
  <c r="D20" i="3"/>
  <c r="X53" i="3"/>
  <c r="K20" i="3"/>
  <c r="X54" i="3"/>
  <c r="D15" i="3"/>
  <c r="X50" i="3"/>
  <c r="R15" i="3"/>
  <c r="X52" i="3"/>
  <c r="K15" i="3"/>
  <c r="X51" i="3"/>
  <c r="AF55" i="3" l="1"/>
  <c r="AF33" i="3"/>
  <c r="AF32" i="3"/>
  <c r="AE55" i="3"/>
  <c r="AD57" i="3"/>
  <c r="AA57" i="3"/>
  <c r="AF31" i="3"/>
  <c r="Z56" i="3"/>
  <c r="AF28" i="3"/>
  <c r="AD56" i="3"/>
  <c r="AF29" i="3"/>
  <c r="AC55" i="3"/>
  <c r="AF27" i="3"/>
  <c r="AB57" i="3"/>
  <c r="AF30" i="3"/>
  <c r="AA56" i="3"/>
  <c r="AF56" i="3"/>
  <c r="AC57" i="3"/>
  <c r="Z55" i="3"/>
  <c r="AA55" i="3"/>
  <c r="Y56" i="3"/>
  <c r="AE57" i="3"/>
  <c r="AC56" i="3"/>
  <c r="Y55" i="3"/>
  <c r="AB55" i="3"/>
  <c r="Y57" i="3"/>
  <c r="AB56" i="3"/>
  <c r="AE50" i="3"/>
  <c r="AC50" i="3"/>
  <c r="AA50" i="3"/>
  <c r="AF50" i="3"/>
  <c r="AD50" i="3"/>
  <c r="AB50" i="3"/>
  <c r="Z50" i="3"/>
  <c r="Z54" i="3"/>
  <c r="AD54" i="3"/>
  <c r="AE54" i="3"/>
  <c r="AB54" i="3"/>
  <c r="AA54" i="3"/>
  <c r="Y54" i="3"/>
  <c r="AF54" i="3"/>
  <c r="AA53" i="3"/>
  <c r="Y53" i="3"/>
  <c r="AF53" i="3"/>
  <c r="AC53" i="3"/>
  <c r="Z53" i="3"/>
  <c r="AD53" i="3"/>
  <c r="AE53" i="3"/>
  <c r="AF51" i="3"/>
  <c r="AD51" i="3"/>
  <c r="AB51" i="3"/>
  <c r="Y51" i="3"/>
  <c r="AE51" i="3"/>
  <c r="AC51" i="3"/>
  <c r="AA51" i="3"/>
  <c r="Z52" i="3"/>
  <c r="AE52" i="3"/>
  <c r="AC52" i="3"/>
  <c r="Y52" i="3"/>
  <c r="AF52" i="3"/>
  <c r="AD52" i="3"/>
  <c r="AB52" i="3"/>
  <c r="Z57" i="3"/>
  <c r="AG52" i="3" l="1"/>
  <c r="AG53" i="3"/>
  <c r="AG51" i="3"/>
  <c r="AG54" i="3"/>
  <c r="AG50" i="3"/>
  <c r="AG57" i="3"/>
  <c r="AG55" i="3"/>
  <c r="AG56" i="3"/>
</calcChain>
</file>

<file path=xl/sharedStrings.xml><?xml version="1.0" encoding="utf-8"?>
<sst xmlns="http://schemas.openxmlformats.org/spreadsheetml/2006/main" count="398" uniqueCount="214">
  <si>
    <t>Team Development</t>
  </si>
  <si>
    <t>Phase</t>
  </si>
  <si>
    <t>Define</t>
  </si>
  <si>
    <t>Measure</t>
  </si>
  <si>
    <t>Analyse</t>
  </si>
  <si>
    <t>Improve</t>
  </si>
  <si>
    <t>Control</t>
  </si>
  <si>
    <t>Business Growth</t>
  </si>
  <si>
    <t>Recognise</t>
  </si>
  <si>
    <t>Reference:</t>
  </si>
  <si>
    <t xml:space="preserve">A3 - Belbin Team Roles </t>
  </si>
  <si>
    <t>Belbin Official Website</t>
  </si>
  <si>
    <t>http://www.belbin.com</t>
  </si>
  <si>
    <t>Directions</t>
  </si>
  <si>
    <t>Belbin Team Roles
Questionnaire</t>
  </si>
  <si>
    <t>I think I can quickly see and take advantage of new opportunities.</t>
  </si>
  <si>
    <t>A</t>
  </si>
  <si>
    <t xml:space="preserve">I can work well with a very wide range of people. </t>
  </si>
  <si>
    <t>B</t>
  </si>
  <si>
    <t>C</t>
  </si>
  <si>
    <t>D</t>
  </si>
  <si>
    <t>E</t>
  </si>
  <si>
    <t>F</t>
  </si>
  <si>
    <t>G</t>
  </si>
  <si>
    <t>H</t>
  </si>
  <si>
    <t xml:space="preserve">Producing ideas is one of my natural assets. </t>
  </si>
  <si>
    <t xml:space="preserve">My ability rests in being able to draw people out whenever I detect they have value to contribute to group objectives. </t>
  </si>
  <si>
    <t xml:space="preserve">My capacity to follow through has much to do with my personal effectiveness. </t>
  </si>
  <si>
    <t xml:space="preserve">I am ready to face temporary unpopularity if it leads to worthwhile results in the end. </t>
  </si>
  <si>
    <t xml:space="preserve">I can usually sense what is realistic and likely to work. </t>
  </si>
  <si>
    <t xml:space="preserve">I can offer a reasoned case for alternative courses of action without introducing bias or prejudice. </t>
  </si>
  <si>
    <t xml:space="preserve">I am not at ease unless meetings are well structured and controlled and generally well conducted. </t>
  </si>
  <si>
    <t xml:space="preserve">I am inclined to be too generous towards others who have a valid viewpoint that has not been given a proper airing. </t>
  </si>
  <si>
    <t xml:space="preserve">I have a tendency to talk too much once the group gets on to new ideas. </t>
  </si>
  <si>
    <t xml:space="preserve">The fact that I see things objectively makes it difficult for me to join in readily and enthusiastically with team members. </t>
  </si>
  <si>
    <t xml:space="preserve">I am sometimes seen as forceful and authoritarian if there is a need to get something done. </t>
  </si>
  <si>
    <t xml:space="preserve">I find it difficult to lead from the front, perhaps because I am over responsive to group atmosphere. </t>
  </si>
  <si>
    <t xml:space="preserve">I am apt to get too caught up on ideas that occur to me and so lose track of what is happening. </t>
  </si>
  <si>
    <t xml:space="preserve">My peers tend to see me as worrying unnecessarily over detail and the possibility that things may go wrong. </t>
  </si>
  <si>
    <t xml:space="preserve">I find it easy to influence people without pressurising them. </t>
  </si>
  <si>
    <t xml:space="preserve">My careful and methodical approach prevents careless mistakes and omissions being made. </t>
  </si>
  <si>
    <t xml:space="preserve">I am ready to press for action to make sure that the meeting does not waste time or lose sight of their main objective. </t>
  </si>
  <si>
    <t xml:space="preserve">I can be counted on to contribute something original. </t>
  </si>
  <si>
    <t xml:space="preserve">I am always ready to back a good suggestion in the common interest. </t>
  </si>
  <si>
    <t xml:space="preserve">I am keen to look for the latest in new ideas and developments. </t>
  </si>
  <si>
    <t xml:space="preserve">I believe that my judgements about things are usually correct and can help to bring about the right decisions. </t>
  </si>
  <si>
    <t xml:space="preserve">I can be relied upon to see that all essential work is organised. </t>
  </si>
  <si>
    <t>Key</t>
  </si>
  <si>
    <t>Correct Number of Points Allocated for Question.</t>
  </si>
  <si>
    <t>Incorrect Number of Points Allocated for Question.</t>
  </si>
  <si>
    <t>Below Required Number of Points for Question.</t>
  </si>
  <si>
    <t xml:space="preserve">I have a quiet interest in getting to know my peers better. </t>
  </si>
  <si>
    <t xml:space="preserve">I am not reluctant to challenge the view of others or to hold a minority view myself. </t>
  </si>
  <si>
    <t xml:space="preserve">I find it easy to argue against points that do not seem to be justified. </t>
  </si>
  <si>
    <t xml:space="preserve">I have a tendency to avoid the obvious and to come out with the unexpected. </t>
  </si>
  <si>
    <t xml:space="preserve">I bring a touch of perfectionism to any job I undertake. </t>
  </si>
  <si>
    <t xml:space="preserve">I am ready to make use of contacts outside the group itself. </t>
  </si>
  <si>
    <t xml:space="preserve">While I am interested in all views I have no hesitation in making up my mind once a decision has to be made. </t>
  </si>
  <si>
    <t xml:space="preserve">I think I have a talent for making things work once a plan has to be put into operation. </t>
  </si>
  <si>
    <t>This Worksheet is Not
Designed to Be Printed</t>
  </si>
  <si>
    <t>Interpretation</t>
  </si>
  <si>
    <t xml:space="preserve">I am interested in finding practical solutions to problems. </t>
  </si>
  <si>
    <t xml:space="preserve">I enjoy analysing situations and weighing up all the possible choices. </t>
  </si>
  <si>
    <t xml:space="preserve">I like to feel I am fostering good working relationships. </t>
  </si>
  <si>
    <t xml:space="preserve">I can have a strong influence on decisions. </t>
  </si>
  <si>
    <t xml:space="preserve">I can meet people who may have something new to offer. </t>
  </si>
  <si>
    <t xml:space="preserve">I can get people to agree on a necessary course of action. </t>
  </si>
  <si>
    <t xml:space="preserve">I feel in my element where I can give a task my full attention. </t>
  </si>
  <si>
    <t xml:space="preserve">I like to find a field that stretches my imagination. </t>
  </si>
  <si>
    <t>5.  I gain satisfaction in an activity because:</t>
  </si>
  <si>
    <t xml:space="preserve">I would feel like retiring to a corner to devise a way out of the problem before developing relationships with the people. </t>
  </si>
  <si>
    <t xml:space="preserve">I would be ready to work with the person who showed the most positive approach. </t>
  </si>
  <si>
    <t xml:space="preserve"> I would find some way of reducing the size of the task by establishing what different individuals might best contribute. </t>
  </si>
  <si>
    <t xml:space="preserve">My natural sense of urgency would help to ensure that we did not fall behind schedule. </t>
  </si>
  <si>
    <t xml:space="preserve">I believe I would keep cool and maintain my capacity to think straight. </t>
  </si>
  <si>
    <t xml:space="preserve">I would retain a steadiness of purpose in spite of the pressure. </t>
  </si>
  <si>
    <t xml:space="preserve">I would be prepared to take a positive lead if I felt the group was making no progress. </t>
  </si>
  <si>
    <t xml:space="preserve">I would open up discussions with a view to stimulating new thoughts and getting something moving. </t>
  </si>
  <si>
    <t xml:space="preserve">I am apt to show my impatience with those who are obstructing progress. </t>
  </si>
  <si>
    <t xml:space="preserve">Others may criticise me for being too analytical and insufficiently intuitive. </t>
  </si>
  <si>
    <t xml:space="preserve">My desire to ensure that work is properly done can hold up proceedings. </t>
  </si>
  <si>
    <t xml:space="preserve">I tend to get bored rather easily and rely on one or two stimulating group members to spark me off. </t>
  </si>
  <si>
    <t xml:space="preserve">I find it difficult to get started unless the goals are clear. </t>
  </si>
  <si>
    <t xml:space="preserve">I am sometimes poor at explaining and clarifying complex points that occur to me. </t>
  </si>
  <si>
    <t xml:space="preserve">I am conscious of demanding from others the things I cannot do myself. </t>
  </si>
  <si>
    <t xml:space="preserve">I hesitate to get my points across when I run up against real opposition. </t>
  </si>
  <si>
    <t>I</t>
  </si>
  <si>
    <t>RI</t>
  </si>
  <si>
    <t>ME</t>
  </si>
  <si>
    <t>TW</t>
  </si>
  <si>
    <t>CF</t>
  </si>
  <si>
    <t>Total</t>
  </si>
  <si>
    <r>
      <t xml:space="preserve">Your </t>
    </r>
    <r>
      <rPr>
        <b/>
        <i/>
        <sz val="10"/>
        <rFont val="Calibri"/>
        <family val="2"/>
        <scheme val="minor"/>
      </rPr>
      <t>Scores</t>
    </r>
    <r>
      <rPr>
        <sz val="10"/>
        <rFont val="Calibri"/>
        <family val="2"/>
        <scheme val="minor"/>
      </rPr>
      <t xml:space="preserve"> will provide guidance of your </t>
    </r>
    <r>
      <rPr>
        <b/>
        <i/>
        <sz val="10"/>
        <rFont val="Calibri"/>
        <family val="2"/>
        <scheme val="minor"/>
      </rPr>
      <t>Team-Role Distribution Score</t>
    </r>
    <r>
      <rPr>
        <sz val="10"/>
        <rFont val="Calibri"/>
        <family val="2"/>
        <scheme val="minor"/>
      </rPr>
      <t xml:space="preserve">.
The </t>
    </r>
    <r>
      <rPr>
        <b/>
        <i/>
        <sz val="10"/>
        <rFont val="Calibri"/>
        <family val="2"/>
        <scheme val="minor"/>
      </rPr>
      <t>Highest Score</t>
    </r>
    <r>
      <rPr>
        <sz val="10"/>
        <rFont val="Calibri"/>
        <family val="2"/>
        <scheme val="minor"/>
      </rPr>
      <t xml:space="preserve"> on Team-Role will be your </t>
    </r>
    <r>
      <rPr>
        <b/>
        <i/>
        <sz val="10"/>
        <color rgb="FF002060"/>
        <rFont val="Calibri"/>
        <family val="2"/>
        <scheme val="minor"/>
      </rPr>
      <t>Preferred Roles</t>
    </r>
    <r>
      <rPr>
        <sz val="10"/>
        <rFont val="Calibri"/>
        <family val="2"/>
        <scheme val="minor"/>
      </rPr>
      <t xml:space="preserve"> – those roles which the individual  is comfortable playing and which come naturally.
The </t>
    </r>
    <r>
      <rPr>
        <b/>
        <i/>
        <sz val="10"/>
        <rFont val="Calibri"/>
        <family val="2"/>
        <scheme val="minor"/>
      </rPr>
      <t>Next Highest Scores</t>
    </r>
    <r>
      <rPr>
        <sz val="10"/>
        <rFont val="Calibri"/>
        <family val="2"/>
        <scheme val="minor"/>
      </rPr>
      <t xml:space="preserve"> are your </t>
    </r>
    <r>
      <rPr>
        <b/>
        <i/>
        <sz val="10"/>
        <color rgb="FF002060"/>
        <rFont val="Calibri"/>
        <family val="2"/>
        <scheme val="minor"/>
      </rPr>
      <t>Manageable Roles</t>
    </r>
    <r>
      <rPr>
        <sz val="10"/>
        <rFont val="Calibri"/>
        <family val="2"/>
        <scheme val="minor"/>
      </rPr>
      <t xml:space="preserve"> – those roles which an individual can play if required for the benefit of the team.  These may be cultivated to broaden the individual’s team working experience.
The </t>
    </r>
    <r>
      <rPr>
        <b/>
        <i/>
        <sz val="10"/>
        <rFont val="Calibri"/>
        <family val="2"/>
        <scheme val="minor"/>
      </rPr>
      <t>Two Lowest Scores</t>
    </r>
    <r>
      <rPr>
        <sz val="10"/>
        <rFont val="Calibri"/>
        <family val="2"/>
        <scheme val="minor"/>
      </rPr>
      <t xml:space="preserve"> are your </t>
    </r>
    <r>
      <rPr>
        <b/>
        <i/>
        <sz val="10"/>
        <color rgb="FF002060"/>
        <rFont val="Calibri"/>
        <family val="2"/>
        <scheme val="minor"/>
      </rPr>
      <t>Least Preferred Roles</t>
    </r>
    <r>
      <rPr>
        <sz val="10"/>
        <rFont val="Calibri"/>
        <family val="2"/>
        <scheme val="minor"/>
      </rPr>
      <t xml:space="preserve"> – those roles which the individual  does not naturally or comfortably assume. It is generally recommended that the individual avoids contributing in these areas, lest the pitfalls of the behaviour outweigh the strengths.</t>
    </r>
  </si>
  <si>
    <t>Shaper</t>
  </si>
  <si>
    <t>Implementer</t>
  </si>
  <si>
    <t>Team Worker</t>
  </si>
  <si>
    <t>Resource Investigator</t>
  </si>
  <si>
    <t>Completer-Finisher</t>
  </si>
  <si>
    <t>Co-ordinator</t>
  </si>
  <si>
    <t>Specialist</t>
  </si>
  <si>
    <t>Plant</t>
  </si>
  <si>
    <t xml:space="preserve">Monitor Evaluator
</t>
  </si>
  <si>
    <t>Thinking Oriented Roles</t>
  </si>
  <si>
    <t>People Oriented Roles</t>
  </si>
  <si>
    <t>Action Oriented Roles</t>
  </si>
  <si>
    <t>Not Identified</t>
  </si>
  <si>
    <t>If I am suddenly given a difficult task with limited time and unfamiliar people:</t>
  </si>
  <si>
    <t>With reference to the problems to which I am subject in working in groups:</t>
  </si>
  <si>
    <t>What I believe I can contribute to a team:</t>
  </si>
  <si>
    <t>If I have a possible shortcoming in teamwork, it could be that:</t>
  </si>
  <si>
    <t>When involved in a project with other people:</t>
  </si>
  <si>
    <t>My characteristic approach to group work is that:</t>
  </si>
  <si>
    <t>Belbin's Website Free  PDF Document</t>
  </si>
  <si>
    <t>Purpose</t>
  </si>
  <si>
    <t>Belbin Team Roles</t>
  </si>
  <si>
    <t>Your Observations</t>
  </si>
  <si>
    <r>
      <t xml:space="preserve">This is a Self-Perception Inventory and often better results are obtained by using a </t>
    </r>
    <r>
      <rPr>
        <b/>
        <i/>
        <sz val="10"/>
        <rFont val="Calibri"/>
        <family val="2"/>
        <scheme val="minor"/>
      </rPr>
      <t>360 Degree Inventory</t>
    </r>
    <r>
      <rPr>
        <sz val="10"/>
        <rFont val="Calibri"/>
        <family val="2"/>
        <scheme val="minor"/>
      </rPr>
      <t xml:space="preserve"> and using the </t>
    </r>
    <r>
      <rPr>
        <b/>
        <i/>
        <sz val="10"/>
        <color rgb="FF002060"/>
        <rFont val="Calibri"/>
        <family val="2"/>
        <scheme val="minor"/>
      </rPr>
      <t>official Belbin Team Role Reports</t>
    </r>
    <r>
      <rPr>
        <sz val="10"/>
        <rFont val="Calibri"/>
        <family val="2"/>
        <scheme val="minor"/>
      </rPr>
      <t xml:space="preserve"> from their website.
This version has been taken from 'Teambuilding' by Fraser and Neville (The Industrial Society 1993).
This Version of the  </t>
    </r>
    <r>
      <rPr>
        <b/>
        <i/>
        <sz val="10"/>
        <rFont val="Calibri"/>
        <family val="2"/>
        <scheme val="minor"/>
      </rPr>
      <t>Personal Skill Inventory</t>
    </r>
    <r>
      <rPr>
        <sz val="10"/>
        <rFont val="Calibri"/>
        <family val="2"/>
        <scheme val="minor"/>
      </rPr>
      <t xml:space="preserve"> identifies the original </t>
    </r>
    <r>
      <rPr>
        <b/>
        <i/>
        <sz val="10"/>
        <rFont val="Calibri"/>
        <family val="2"/>
        <scheme val="minor"/>
      </rPr>
      <t>Eight Team-Roles</t>
    </r>
    <r>
      <rPr>
        <sz val="10"/>
        <rFont val="Calibri"/>
        <family val="2"/>
        <scheme val="minor"/>
      </rPr>
      <t xml:space="preserve"> </t>
    </r>
    <r>
      <rPr>
        <b/>
        <i/>
        <sz val="10"/>
        <color rgb="FF002060"/>
        <rFont val="Calibri"/>
        <family val="2"/>
        <scheme val="minor"/>
      </rPr>
      <t>but does not identify</t>
    </r>
    <r>
      <rPr>
        <sz val="10"/>
        <rFont val="Calibri"/>
        <family val="2"/>
        <scheme val="minor"/>
      </rPr>
      <t xml:space="preserve"> the </t>
    </r>
    <r>
      <rPr>
        <b/>
        <i/>
        <sz val="10"/>
        <rFont val="Calibri"/>
        <family val="2"/>
        <scheme val="minor"/>
      </rPr>
      <t>Specialist</t>
    </r>
    <r>
      <rPr>
        <sz val="10"/>
        <rFont val="Calibri"/>
        <family val="2"/>
        <scheme val="minor"/>
      </rPr>
      <t xml:space="preserve"> which was only added after the initial research had been completed.</t>
    </r>
  </si>
  <si>
    <t>Please refer to the official website for more information and complete questionnaires.</t>
  </si>
  <si>
    <r>
      <rPr>
        <b/>
        <i/>
        <sz val="10"/>
        <color rgb="FF002060"/>
        <rFont val="Calibri"/>
        <family val="2"/>
        <scheme val="minor"/>
      </rPr>
      <t>Team Role Summary Descriptions</t>
    </r>
    <r>
      <rPr>
        <sz val="10"/>
        <rFont val="Calibri"/>
        <family val="2"/>
        <scheme val="minor"/>
      </rPr>
      <t xml:space="preserve">
A one page hand-out that summarises the strengths and allowable weaknesses for each of the nine Team Roles</t>
    </r>
  </si>
  <si>
    <r>
      <rPr>
        <b/>
        <i/>
        <sz val="10"/>
        <color rgb="FF002060"/>
        <rFont val="Calibri"/>
        <family val="2"/>
        <scheme val="minor"/>
      </rPr>
      <t>Team Roles in a Nutshell</t>
    </r>
    <r>
      <rPr>
        <sz val="10"/>
        <rFont val="Calibri"/>
        <family val="2"/>
        <scheme val="minor"/>
      </rPr>
      <t xml:space="preserve">
A two page hand-out that explains the theory of Team Roles and introduces the concept of strengths and allowable weaknesses.</t>
    </r>
  </si>
  <si>
    <r>
      <rPr>
        <b/>
        <i/>
        <sz val="10"/>
        <color rgb="FF002060"/>
        <rFont val="Calibri"/>
        <family val="2"/>
        <scheme val="minor"/>
      </rPr>
      <t>Things 'To do' and 'Not to do'</t>
    </r>
    <r>
      <rPr>
        <sz val="10"/>
        <rFont val="Calibri"/>
        <family val="2"/>
        <scheme val="minor"/>
      </rPr>
      <t xml:space="preserve">
This hand-out helps an  individual to become a 'good example of the type' by giving advice on things to do, and things to avoid doing, for each Team Role.</t>
    </r>
  </si>
  <si>
    <r>
      <rPr>
        <b/>
        <i/>
        <sz val="10"/>
        <color rgb="FF002060"/>
        <rFont val="Calibri"/>
        <family val="2"/>
        <scheme val="minor"/>
      </rPr>
      <t>Belbin FAQs</t>
    </r>
    <r>
      <rPr>
        <sz val="10"/>
        <rFont val="Calibri"/>
        <family val="2"/>
        <scheme val="minor"/>
      </rPr>
      <t xml:space="preserve">
A great 2 page hand-out that answers the most frequently asked questions, including 'What is an Allowable Weakness' and 'Can I change Team Roles?'.</t>
    </r>
  </si>
  <si>
    <t>if</t>
  </si>
  <si>
    <t>S</t>
  </si>
  <si>
    <t>P</t>
  </si>
  <si>
    <t>Preference Macros</t>
  </si>
  <si>
    <t>Belbin Team Roles
Individual Preference</t>
  </si>
  <si>
    <t>Belbin Team Roles
Your Preference Results</t>
  </si>
  <si>
    <t>Monitor Evaluator</t>
  </si>
  <si>
    <t>Please Check Question Point Totals</t>
  </si>
  <si>
    <t>Nigel Ward</t>
  </si>
  <si>
    <t>Introduction to
Belbin Team Roles</t>
  </si>
  <si>
    <t xml:space="preserve">Hard Science for Soft Skills
</t>
  </si>
  <si>
    <t>Belbin's Team Roles</t>
  </si>
  <si>
    <r>
      <rPr>
        <i/>
        <sz val="10"/>
        <color rgb="FF002060"/>
        <rFont val="Calibri"/>
        <family val="2"/>
        <scheme val="minor"/>
      </rPr>
      <t>Have you ever wondered why certain teams run smoothly and others just limp along?</t>
    </r>
    <r>
      <rPr>
        <sz val="10"/>
        <rFont val="Calibri"/>
        <family val="2"/>
        <scheme val="minor"/>
      </rPr>
      <t xml:space="preserve">
Three decades years ago, British social scientist R. Meredith Belbin wondered precisely the same thing. After nine years of research with management teams at Henley College, UK, Belbin realised that selecting teams according to commonly assessed traits; intelligence, for example, or personality type, was no guarantee of a team’s success. In fact, he discovered that teams made up of similar people tended to do worse than teams that were picked according to other criteria.
Eventually, he developed a list of nine skill sets that, when combined, made the difference between teams that achieved consistent success and teams that struggled to meet expectations. These became known as </t>
    </r>
    <r>
      <rPr>
        <b/>
        <i/>
        <sz val="10"/>
        <rFont val="Calibri"/>
        <family val="2"/>
        <scheme val="minor"/>
      </rPr>
      <t>Team Roles</t>
    </r>
    <r>
      <rPr>
        <sz val="10"/>
        <rFont val="Calibri"/>
        <family val="2"/>
        <scheme val="minor"/>
      </rPr>
      <t>.</t>
    </r>
  </si>
  <si>
    <t>A3 - Belbin Team Profile</t>
  </si>
  <si>
    <t>Team Roles According
to Project Phases</t>
  </si>
  <si>
    <r>
      <rPr>
        <b/>
        <i/>
        <sz val="10"/>
        <color rgb="FF002060"/>
        <rFont val="Calibri"/>
        <family val="2"/>
        <scheme val="minor"/>
      </rPr>
      <t>Goals</t>
    </r>
    <r>
      <rPr>
        <sz val="10"/>
        <rFont val="Calibri"/>
        <family val="2"/>
        <scheme val="minor"/>
      </rPr>
      <t xml:space="preserve">
To assess and confirm customer needs and goals, </t>
    </r>
    <r>
      <rPr>
        <b/>
        <i/>
        <sz val="10"/>
        <rFont val="Calibri"/>
        <family val="2"/>
        <scheme val="minor"/>
      </rPr>
      <t>Shapers</t>
    </r>
    <r>
      <rPr>
        <sz val="10"/>
        <rFont val="Calibri"/>
        <family val="2"/>
        <scheme val="minor"/>
      </rPr>
      <t xml:space="preserve"> and </t>
    </r>
    <r>
      <rPr>
        <b/>
        <i/>
        <sz val="10"/>
        <rFont val="Calibri"/>
        <family val="2"/>
        <scheme val="minor"/>
      </rPr>
      <t>Coordinators</t>
    </r>
    <r>
      <rPr>
        <sz val="10"/>
        <rFont val="Calibri"/>
        <family val="2"/>
        <scheme val="minor"/>
      </rPr>
      <t xml:space="preserve"> are key.
</t>
    </r>
    <r>
      <rPr>
        <b/>
        <i/>
        <sz val="10"/>
        <color rgb="FF002060"/>
        <rFont val="Calibri"/>
        <family val="2"/>
        <scheme val="minor"/>
      </rPr>
      <t>Ideas</t>
    </r>
    <r>
      <rPr>
        <sz val="10"/>
        <rFont val="Calibri"/>
        <family val="2"/>
        <scheme val="minor"/>
      </rPr>
      <t xml:space="preserve">
</t>
    </r>
    <r>
      <rPr>
        <b/>
        <i/>
        <sz val="10"/>
        <rFont val="Calibri"/>
        <family val="2"/>
        <scheme val="minor"/>
      </rPr>
      <t>Plants</t>
    </r>
    <r>
      <rPr>
        <sz val="10"/>
        <rFont val="Calibri"/>
        <family val="2"/>
        <scheme val="minor"/>
      </rPr>
      <t xml:space="preserve"> and </t>
    </r>
    <r>
      <rPr>
        <b/>
        <i/>
        <sz val="10"/>
        <rFont val="Calibri"/>
        <family val="2"/>
        <scheme val="minor"/>
      </rPr>
      <t>Resource Investigators</t>
    </r>
    <r>
      <rPr>
        <sz val="10"/>
        <rFont val="Calibri"/>
        <family val="2"/>
        <scheme val="minor"/>
      </rPr>
      <t xml:space="preserve"> best develop creative ideas to meet those needs.
</t>
    </r>
    <r>
      <rPr>
        <b/>
        <i/>
        <sz val="10"/>
        <color rgb="FF002060"/>
        <rFont val="Calibri"/>
        <family val="2"/>
        <scheme val="minor"/>
      </rPr>
      <t>Plans</t>
    </r>
    <r>
      <rPr>
        <sz val="10"/>
        <rFont val="Calibri"/>
        <family val="2"/>
        <scheme val="minor"/>
      </rPr>
      <t xml:space="preserve">
When a team needs plans, </t>
    </r>
    <r>
      <rPr>
        <b/>
        <i/>
        <sz val="10"/>
        <rFont val="Calibri"/>
        <family val="2"/>
        <scheme val="minor"/>
      </rPr>
      <t>Monitor</t>
    </r>
    <r>
      <rPr>
        <i/>
        <sz val="10"/>
        <rFont val="Calibri"/>
        <family val="2"/>
        <scheme val="minor"/>
      </rPr>
      <t xml:space="preserve"> </t>
    </r>
    <r>
      <rPr>
        <b/>
        <i/>
        <sz val="10"/>
        <rFont val="Calibri"/>
        <family val="2"/>
        <scheme val="minor"/>
      </rPr>
      <t>Evaluators</t>
    </r>
    <r>
      <rPr>
        <sz val="10"/>
        <rFont val="Calibri"/>
        <family val="2"/>
        <scheme val="minor"/>
      </rPr>
      <t xml:space="preserve"> and </t>
    </r>
    <r>
      <rPr>
        <b/>
        <i/>
        <sz val="10"/>
        <rFont val="Calibri"/>
        <family val="2"/>
        <scheme val="minor"/>
      </rPr>
      <t>Specialists</t>
    </r>
    <r>
      <rPr>
        <sz val="10"/>
        <rFont val="Calibri"/>
        <family val="2"/>
        <scheme val="minor"/>
      </rPr>
      <t xml:space="preserve"> are valuable contributors.
</t>
    </r>
    <r>
      <rPr>
        <b/>
        <i/>
        <sz val="10"/>
        <color rgb="FF002060"/>
        <rFont val="Calibri"/>
        <family val="2"/>
        <scheme val="minor"/>
      </rPr>
      <t>Contacts</t>
    </r>
    <r>
      <rPr>
        <sz val="10"/>
        <rFont val="Calibri"/>
        <family val="2"/>
        <scheme val="minor"/>
      </rPr>
      <t xml:space="preserve">
If a team must communicate with contacts outside the team, </t>
    </r>
    <r>
      <rPr>
        <b/>
        <i/>
        <sz val="10"/>
        <rFont val="Calibri"/>
        <family val="2"/>
        <scheme val="minor"/>
      </rPr>
      <t>Resource Investigators</t>
    </r>
    <r>
      <rPr>
        <b/>
        <sz val="10"/>
        <rFont val="Calibri"/>
        <family val="2"/>
        <scheme val="minor"/>
      </rPr>
      <t xml:space="preserve"> </t>
    </r>
    <r>
      <rPr>
        <sz val="10"/>
        <rFont val="Calibri"/>
        <family val="2"/>
        <scheme val="minor"/>
      </rPr>
      <t xml:space="preserve">and </t>
    </r>
    <r>
      <rPr>
        <b/>
        <i/>
        <sz val="10"/>
        <rFont val="Calibri"/>
        <family val="2"/>
        <scheme val="minor"/>
      </rPr>
      <t>Team Workers</t>
    </r>
    <r>
      <rPr>
        <sz val="10"/>
        <rFont val="Calibri"/>
        <family val="2"/>
        <scheme val="minor"/>
      </rPr>
      <t xml:space="preserve"> are the best suited for the job.
</t>
    </r>
    <r>
      <rPr>
        <b/>
        <i/>
        <sz val="10"/>
        <color rgb="FF002060"/>
        <rFont val="Calibri"/>
        <family val="2"/>
        <scheme val="minor"/>
      </rPr>
      <t>Organisation</t>
    </r>
    <r>
      <rPr>
        <sz val="10"/>
        <rFont val="Calibri"/>
        <family val="2"/>
        <scheme val="minor"/>
      </rPr>
      <t xml:space="preserve">
</t>
    </r>
    <r>
      <rPr>
        <b/>
        <i/>
        <sz val="10"/>
        <rFont val="Calibri"/>
        <family val="2"/>
        <scheme val="minor"/>
      </rPr>
      <t>Implementers</t>
    </r>
    <r>
      <rPr>
        <sz val="10"/>
        <rFont val="Calibri"/>
        <family val="2"/>
        <scheme val="minor"/>
      </rPr>
      <t xml:space="preserve"> and </t>
    </r>
    <r>
      <rPr>
        <b/>
        <i/>
        <sz val="10"/>
        <rFont val="Calibri"/>
        <family val="2"/>
        <scheme val="minor"/>
      </rPr>
      <t>Coordinators</t>
    </r>
    <r>
      <rPr>
        <sz val="10"/>
        <rFont val="Calibri"/>
        <family val="2"/>
        <scheme val="minor"/>
      </rPr>
      <t xml:space="preserve"> excel at keeping the team organised and on track.
</t>
    </r>
    <r>
      <rPr>
        <b/>
        <i/>
        <sz val="10"/>
        <color rgb="FF002060"/>
        <rFont val="Calibri"/>
        <family val="2"/>
        <scheme val="minor"/>
      </rPr>
      <t>Follow Through</t>
    </r>
    <r>
      <rPr>
        <sz val="10"/>
        <rFont val="Calibri"/>
        <family val="2"/>
        <scheme val="minor"/>
      </rPr>
      <t xml:space="preserve">
Finally, ensuring that all plans are completed and quality control is maintained should be the responsibility of </t>
    </r>
    <r>
      <rPr>
        <b/>
        <i/>
        <sz val="10"/>
        <rFont val="Calibri"/>
        <family val="2"/>
        <scheme val="minor"/>
      </rPr>
      <t>Implementers</t>
    </r>
    <r>
      <rPr>
        <sz val="10"/>
        <rFont val="Calibri"/>
        <family val="2"/>
        <scheme val="minor"/>
      </rPr>
      <t xml:space="preserve"> and </t>
    </r>
    <r>
      <rPr>
        <b/>
        <i/>
        <sz val="10"/>
        <rFont val="Calibri"/>
        <family val="2"/>
        <scheme val="minor"/>
      </rPr>
      <t>Completer-Finishers</t>
    </r>
    <r>
      <rPr>
        <sz val="10"/>
        <rFont val="Calibri"/>
        <family val="2"/>
        <scheme val="minor"/>
      </rPr>
      <t xml:space="preserve">.
</t>
    </r>
    <r>
      <rPr>
        <b/>
        <i/>
        <sz val="10"/>
        <color rgb="FF002060"/>
        <rFont val="Calibri"/>
        <family val="2"/>
        <scheme val="minor"/>
      </rPr>
      <t>The Belbin Official Website has Free Hand-outs and lots more information.</t>
    </r>
  </si>
  <si>
    <t>Validation of Belbin’s Model</t>
  </si>
  <si>
    <t xml:space="preserve">Of course, Belbin’s ideas did not just stay ideas; he tested his Team Roles theories in two series of trials; simulated management exercises in which several teams competed against one another. Although he did not pick the teams, Belbin’s predictions on the teams success were accurate.
Following on with further tests, Belbin was able to predict the success of a team with an accuracy rate of 86%; even when he had not picked the team members.
</t>
  </si>
  <si>
    <t>Benefits of Belbin's Model</t>
  </si>
  <si>
    <r>
      <t xml:space="preserve">The nine Belbin Team Roles represent team members’ preferred ways to interact and behave in a group.  Some people are more comfortable working behind the scenes. Others like to interact and engage with  clients and customers. Some like ideas. Others prefer decisions.
Top-performing teams are built on a balance of nine basic roles; with each team member performing a role (or roles) that reflect their unique, inherent strengths.
Belbin Team Roles are used to identify people's behavioural strengths and weaknesses in the workplace. This information can be used to:
</t>
    </r>
    <r>
      <rPr>
        <b/>
        <sz val="10"/>
        <color rgb="FF002060"/>
        <rFont val="Wingdings"/>
        <charset val="2"/>
      </rPr>
      <t>Ø</t>
    </r>
    <r>
      <rPr>
        <sz val="10"/>
        <rFont val="Calibri"/>
        <family val="2"/>
        <scheme val="minor"/>
      </rPr>
      <t xml:space="preserve"> </t>
    </r>
    <r>
      <rPr>
        <i/>
        <sz val="10"/>
        <rFont val="Calibri"/>
        <family val="2"/>
        <scheme val="minor"/>
      </rPr>
      <t xml:space="preserve">Build productive working relationships.
</t>
    </r>
    <r>
      <rPr>
        <b/>
        <sz val="10"/>
        <color rgb="FF002060"/>
        <rFont val="Wingdings"/>
        <charset val="2"/>
      </rPr>
      <t>Ø</t>
    </r>
    <r>
      <rPr>
        <i/>
        <sz val="10"/>
        <rFont val="Calibri"/>
        <family val="2"/>
        <scheme val="minor"/>
      </rPr>
      <t xml:space="preserve"> Select and develop high-performing teams.
</t>
    </r>
    <r>
      <rPr>
        <b/>
        <sz val="10"/>
        <color rgb="FF002060"/>
        <rFont val="Wingdings"/>
        <charset val="2"/>
      </rPr>
      <t>Ø</t>
    </r>
    <r>
      <rPr>
        <i/>
        <sz val="10"/>
        <rFont val="Calibri"/>
        <family val="2"/>
        <scheme val="minor"/>
      </rPr>
      <t xml:space="preserve"> Raise self-awareness and personal effectiveness.
</t>
    </r>
    <r>
      <rPr>
        <b/>
        <sz val="10"/>
        <color rgb="FF002060"/>
        <rFont val="Wingdings"/>
        <charset val="2"/>
      </rPr>
      <t>Ø</t>
    </r>
    <r>
      <rPr>
        <i/>
        <sz val="10"/>
        <rFont val="Calibri"/>
        <family val="2"/>
        <scheme val="minor"/>
      </rPr>
      <t xml:space="preserve"> Build mutual trust and understanding.
</t>
    </r>
    <r>
      <rPr>
        <b/>
        <sz val="10"/>
        <color rgb="FF002060"/>
        <rFont val="Wingdings"/>
        <charset val="2"/>
      </rPr>
      <t>Ø</t>
    </r>
    <r>
      <rPr>
        <i/>
        <sz val="10"/>
        <rFont val="Calibri"/>
        <family val="2"/>
        <scheme val="minor"/>
      </rPr>
      <t xml:space="preserve"> Aid recruitment processes.</t>
    </r>
  </si>
  <si>
    <r>
      <rPr>
        <b/>
        <i/>
        <sz val="12"/>
        <color rgb="FF002060"/>
        <rFont val="Calibri"/>
        <family val="2"/>
        <scheme val="minor"/>
      </rPr>
      <t>You Team Role Profile</t>
    </r>
    <r>
      <rPr>
        <sz val="12"/>
        <rFont val="Calibri"/>
        <family val="2"/>
        <scheme val="minor"/>
      </rPr>
      <t>:</t>
    </r>
    <r>
      <rPr>
        <sz val="10"/>
        <rFont val="Calibri"/>
        <family val="2"/>
        <scheme val="minor"/>
      </rPr>
      <t xml:space="preserve">
</t>
    </r>
    <r>
      <rPr>
        <b/>
        <sz val="10"/>
        <color rgb="FF002060"/>
        <rFont val="Wingdings"/>
        <charset val="2"/>
      </rPr>
      <t>Ø</t>
    </r>
    <r>
      <rPr>
        <sz val="10"/>
        <rFont val="Calibri"/>
        <family val="2"/>
        <scheme val="minor"/>
      </rPr>
      <t xml:space="preserve"> </t>
    </r>
    <r>
      <rPr>
        <b/>
        <i/>
        <sz val="10"/>
        <color rgb="FF002060"/>
        <rFont val="Calibri"/>
        <family val="2"/>
        <scheme val="minor"/>
      </rPr>
      <t>Preferred Roles</t>
    </r>
    <r>
      <rPr>
        <sz val="10"/>
        <rFont val="Calibri"/>
        <family val="2"/>
        <scheme val="minor"/>
      </rPr>
      <t xml:space="preserve"> – those roles which the individual  is comfortable playing and which come naturally.
</t>
    </r>
    <r>
      <rPr>
        <b/>
        <sz val="10"/>
        <rFont val="Wingdings"/>
        <charset val="2"/>
      </rPr>
      <t>Ø</t>
    </r>
    <r>
      <rPr>
        <sz val="10"/>
        <rFont val="Calibri"/>
        <family val="2"/>
        <scheme val="minor"/>
      </rPr>
      <t xml:space="preserve"> </t>
    </r>
    <r>
      <rPr>
        <b/>
        <i/>
        <sz val="10"/>
        <color rgb="FF002060"/>
        <rFont val="Calibri"/>
        <family val="2"/>
        <scheme val="minor"/>
      </rPr>
      <t>Manageable Roles</t>
    </r>
    <r>
      <rPr>
        <sz val="10"/>
        <rFont val="Calibri"/>
        <family val="2"/>
        <scheme val="minor"/>
      </rPr>
      <t xml:space="preserve"> – those roles which an individual can play if required for the benefit of the team.  These may be cultivated to broaden the individual’s team working experience.
</t>
    </r>
    <r>
      <rPr>
        <b/>
        <sz val="10"/>
        <color rgb="FF002060"/>
        <rFont val="Wingdings"/>
        <charset val="2"/>
      </rPr>
      <t>Ø</t>
    </r>
    <r>
      <rPr>
        <sz val="10"/>
        <rFont val="Calibri"/>
        <family val="2"/>
        <scheme val="minor"/>
      </rPr>
      <t xml:space="preserve"> </t>
    </r>
    <r>
      <rPr>
        <b/>
        <i/>
        <sz val="10"/>
        <color rgb="FF002060"/>
        <rFont val="Calibri"/>
        <family val="2"/>
        <scheme val="minor"/>
      </rPr>
      <t>Least Preferred Roles</t>
    </r>
    <r>
      <rPr>
        <sz val="10"/>
        <rFont val="Calibri"/>
        <family val="2"/>
        <scheme val="minor"/>
      </rPr>
      <t xml:space="preserve"> – those roles which the individual  does not naturally or comfortably assume. It is generally recommended that the individual avoids contributing in these areas, lest the pitfalls of the behaviour outweigh the strengths.</t>
    </r>
  </si>
  <si>
    <t>Section</t>
  </si>
  <si>
    <t>IMP</t>
  </si>
  <si>
    <t>CO</t>
  </si>
  <si>
    <t>SH</t>
  </si>
  <si>
    <t>PL</t>
  </si>
  <si>
    <t>T19</t>
  </si>
  <si>
    <t>T13</t>
  </si>
  <si>
    <t>T17</t>
  </si>
  <si>
    <t>T12</t>
  </si>
  <si>
    <t>T10</t>
  </si>
  <si>
    <t>T20</t>
  </si>
  <si>
    <t>T11</t>
  </si>
  <si>
    <t>T15</t>
  </si>
  <si>
    <t>T32</t>
  </si>
  <si>
    <t>T24</t>
  </si>
  <si>
    <t>T38</t>
  </si>
  <si>
    <t>T26</t>
  </si>
  <si>
    <t>T34</t>
  </si>
  <si>
    <t>T28</t>
  </si>
  <si>
    <t>T30</t>
  </si>
  <si>
    <t>T36</t>
  </si>
  <si>
    <t>T45</t>
  </si>
  <si>
    <t>T52</t>
  </si>
  <si>
    <t>T43</t>
  </si>
  <si>
    <t>T42</t>
  </si>
  <si>
    <t>T48</t>
  </si>
  <si>
    <t>T49</t>
  </si>
  <si>
    <t>T47</t>
  </si>
  <si>
    <t>T50</t>
  </si>
  <si>
    <t>T56</t>
  </si>
  <si>
    <t>T59</t>
  </si>
  <si>
    <t>T63</t>
  </si>
  <si>
    <t>T65</t>
  </si>
  <si>
    <t>T55</t>
  </si>
  <si>
    <t>T64</t>
  </si>
  <si>
    <t>T61</t>
  </si>
  <si>
    <t>T58</t>
  </si>
  <si>
    <t>AP13</t>
  </si>
  <si>
    <t>AP11</t>
  </si>
  <si>
    <t>AP16</t>
  </si>
  <si>
    <t>AP15</t>
  </si>
  <si>
    <t>AP12</t>
  </si>
  <si>
    <t>AP14</t>
  </si>
  <si>
    <t>AP17</t>
  </si>
  <si>
    <t>AP10</t>
  </si>
  <si>
    <t>AP31</t>
  </si>
  <si>
    <t>AP30</t>
  </si>
  <si>
    <t>AP27</t>
  </si>
  <si>
    <t>AP25</t>
  </si>
  <si>
    <t>AP23</t>
  </si>
  <si>
    <t>AP33</t>
  </si>
  <si>
    <t>AP21</t>
  </si>
  <si>
    <t>AP29</t>
  </si>
  <si>
    <t>AP38</t>
  </si>
  <si>
    <t>AP46</t>
  </si>
  <si>
    <t>AP42</t>
  </si>
  <si>
    <t>AP49</t>
  </si>
  <si>
    <t>AP50</t>
  </si>
  <si>
    <t>AP44</t>
  </si>
  <si>
    <t>AP47</t>
  </si>
  <si>
    <t>AP40</t>
  </si>
  <si>
    <t>Q1</t>
  </si>
  <si>
    <t>Q2</t>
  </si>
  <si>
    <t>Q3</t>
  </si>
  <si>
    <t>Q4</t>
  </si>
  <si>
    <t>Q5</t>
  </si>
  <si>
    <t>Q6</t>
  </si>
  <si>
    <t>Q7</t>
  </si>
  <si>
    <t>Name:</t>
  </si>
  <si>
    <r>
      <t xml:space="preserve">For each section, distribute a total of </t>
    </r>
    <r>
      <rPr>
        <b/>
        <i/>
        <sz val="10"/>
        <color rgb="FFC00000"/>
        <rFont val="Calibri"/>
        <family val="2"/>
        <scheme val="minor"/>
      </rPr>
      <t>ten points</t>
    </r>
    <r>
      <rPr>
        <sz val="10"/>
        <color rgb="FFC00000"/>
        <rFont val="Calibri"/>
        <family val="2"/>
        <scheme val="minor"/>
      </rPr>
      <t xml:space="preserve"> among the sentences which you think best describe your behaviour.
These points may be distributed among several sentences, in extreme cases they might be spread among all the sentences or ten points may be given to a single sentence.
Enter the points in the table.</t>
    </r>
  </si>
  <si>
    <t xml:space="preserve">  
Principles of Project Management (DA)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</si>
</sst>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47" x14ac:knownFonts="1">
    <font>
      <sz val="10"/>
      <name val="Arial"/>
      <family val="2"/>
    </font>
    <font>
      <sz val="12"/>
      <name val="Arial"/>
      <family val="2"/>
    </font>
    <font>
      <sz val="11"/>
      <name val="Calibri"/>
      <family val="2"/>
      <scheme val="minor"/>
    </font>
    <font>
      <sz val="10"/>
      <name val="Arial"/>
      <family val="2"/>
    </font>
    <font>
      <sz val="14"/>
      <name val="Calibri"/>
      <family val="2"/>
      <scheme val="minor"/>
    </font>
    <font>
      <b/>
      <sz val="12"/>
      <name val="Calibri"/>
      <family val="2"/>
      <scheme val="minor"/>
    </font>
    <font>
      <b/>
      <sz val="10"/>
      <name val="Calibri"/>
      <family val="2"/>
      <scheme val="minor"/>
    </font>
    <font>
      <sz val="12"/>
      <name val="Calibri"/>
      <family val="2"/>
      <scheme val="minor"/>
    </font>
    <font>
      <b/>
      <sz val="14"/>
      <name val="Calibri"/>
      <family val="2"/>
      <scheme val="minor"/>
    </font>
    <font>
      <b/>
      <i/>
      <sz val="16"/>
      <name val="Calibri"/>
      <family val="2"/>
      <scheme val="minor"/>
    </font>
    <font>
      <sz val="10"/>
      <name val="Calibri"/>
      <family val="2"/>
      <scheme val="minor"/>
    </font>
    <font>
      <sz val="18"/>
      <name val="Calibri"/>
      <family val="2"/>
      <scheme val="minor"/>
    </font>
    <font>
      <b/>
      <i/>
      <sz val="11"/>
      <name val="Calibri"/>
      <family val="2"/>
      <scheme val="minor"/>
    </font>
    <font>
      <sz val="11"/>
      <name val="Arial"/>
      <family val="2"/>
    </font>
    <font>
      <sz val="16"/>
      <name val="Calibri"/>
      <family val="2"/>
      <scheme val="minor"/>
    </font>
    <font>
      <b/>
      <i/>
      <sz val="12"/>
      <name val="Calibri"/>
      <family val="2"/>
    </font>
    <font>
      <b/>
      <i/>
      <sz val="12"/>
      <name val="Arial"/>
      <family val="2"/>
    </font>
    <font>
      <sz val="8"/>
      <color theme="0"/>
      <name val="Calibri"/>
      <family val="2"/>
      <scheme val="minor"/>
    </font>
    <font>
      <b/>
      <i/>
      <sz val="10"/>
      <name val="Calibri"/>
      <family val="2"/>
      <scheme val="minor"/>
    </font>
    <font>
      <b/>
      <i/>
      <sz val="12"/>
      <name val="Calibri"/>
      <family val="2"/>
      <scheme val="minor"/>
    </font>
    <font>
      <b/>
      <sz val="8"/>
      <name val="Calibri"/>
      <family val="2"/>
      <scheme val="minor"/>
    </font>
    <font>
      <b/>
      <i/>
      <sz val="9"/>
      <name val="Calibri"/>
      <family val="2"/>
      <scheme val="minor"/>
    </font>
    <font>
      <u/>
      <sz val="10"/>
      <color theme="10"/>
      <name val="Arial"/>
      <family val="2"/>
    </font>
    <font>
      <b/>
      <i/>
      <sz val="12"/>
      <color rgb="FF002060"/>
      <name val="Calibri"/>
      <family val="2"/>
      <scheme val="minor"/>
    </font>
    <font>
      <i/>
      <sz val="10"/>
      <name val="Calibri"/>
      <family val="2"/>
      <scheme val="minor"/>
    </font>
    <font>
      <i/>
      <sz val="10"/>
      <color rgb="FF002060"/>
      <name val="Calibri"/>
      <family val="2"/>
      <scheme val="minor"/>
    </font>
    <font>
      <b/>
      <i/>
      <sz val="10"/>
      <color rgb="FF002060"/>
      <name val="Calibri"/>
      <family val="2"/>
      <scheme val="minor"/>
    </font>
    <font>
      <b/>
      <i/>
      <sz val="11"/>
      <color rgb="FF002060"/>
      <name val="Calibri"/>
      <family val="2"/>
      <scheme val="minor"/>
    </font>
    <font>
      <b/>
      <u/>
      <sz val="10"/>
      <color rgb="FF002060"/>
      <name val="Calibri"/>
      <family val="2"/>
      <scheme val="minor"/>
    </font>
    <font>
      <b/>
      <sz val="10"/>
      <color rgb="FF002060"/>
      <name val="Calibri"/>
      <family val="2"/>
      <scheme val="minor"/>
    </font>
    <font>
      <b/>
      <i/>
      <sz val="10"/>
      <name val="Arial"/>
      <family val="2"/>
    </font>
    <font>
      <i/>
      <sz val="10"/>
      <name val="Arial"/>
      <family val="2"/>
    </font>
    <font>
      <sz val="10"/>
      <color rgb="FF002060"/>
      <name val="Arial"/>
      <family val="2"/>
    </font>
    <font>
      <b/>
      <sz val="11"/>
      <color rgb="FF002060"/>
      <name val="Calibri"/>
      <family val="2"/>
      <scheme val="minor"/>
    </font>
    <font>
      <sz val="10"/>
      <color theme="0"/>
      <name val="Calibri"/>
      <family val="2"/>
      <scheme val="minor"/>
    </font>
    <font>
      <i/>
      <sz val="10"/>
      <color rgb="FF002060"/>
      <name val="Arial"/>
      <family val="2"/>
    </font>
    <font>
      <b/>
      <i/>
      <u/>
      <sz val="10"/>
      <color rgb="FF002060"/>
      <name val="Calibri"/>
      <family val="2"/>
      <scheme val="minor"/>
    </font>
    <font>
      <sz val="8"/>
      <name val="Calibri"/>
      <family val="2"/>
      <scheme val="minor"/>
    </font>
    <font>
      <b/>
      <sz val="10"/>
      <color rgb="FF002060"/>
      <name val="Wingdings"/>
      <charset val="2"/>
    </font>
    <font>
      <b/>
      <sz val="10"/>
      <name val="Wingdings"/>
      <charset val="2"/>
    </font>
    <font>
      <sz val="14"/>
      <color indexed="63"/>
      <name val="Calibri"/>
      <family val="2"/>
      <scheme val="minor"/>
    </font>
    <font>
      <b/>
      <sz val="11"/>
      <name val="Calibri"/>
      <family val="2"/>
      <scheme val="minor"/>
    </font>
    <font>
      <b/>
      <sz val="9"/>
      <name val="Calibri"/>
      <family val="2"/>
      <scheme val="minor"/>
    </font>
    <font>
      <b/>
      <i/>
      <sz val="12"/>
      <color rgb="FFC00000"/>
      <name val="Calibri"/>
      <family val="2"/>
      <scheme val="minor"/>
    </font>
    <font>
      <sz val="10"/>
      <color rgb="FFC00000"/>
      <name val="Arial"/>
      <family val="2"/>
    </font>
    <font>
      <sz val="10"/>
      <color rgb="FFC00000"/>
      <name val="Calibri"/>
      <family val="2"/>
      <scheme val="minor"/>
    </font>
    <font>
      <b/>
      <i/>
      <sz val="10"/>
      <color rgb="FFC0000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9" tint="0.79998168889431442"/>
        <bgColor indexed="64"/>
      </patternFill>
    </fill>
  </fills>
  <borders count="23">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style="thick">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double">
        <color indexed="64"/>
      </left>
      <right style="double">
        <color indexed="64"/>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6">
    <xf numFmtId="0" fontId="0" fillId="0" borderId="0"/>
    <xf numFmtId="0" fontId="1" fillId="0" borderId="0"/>
    <xf numFmtId="0" fontId="22" fillId="0" borderId="0" applyNumberFormat="0" applyFill="0" applyBorder="0" applyAlignment="0" applyProtection="0">
      <alignment vertical="top"/>
      <protection locked="0"/>
    </xf>
    <xf numFmtId="0" fontId="3" fillId="0" borderId="0"/>
    <xf numFmtId="0" fontId="3" fillId="0" borderId="0"/>
    <xf numFmtId="0" fontId="1" fillId="0" borderId="0"/>
  </cellStyleXfs>
  <cellXfs count="348">
    <xf numFmtId="0" fontId="0" fillId="0" borderId="0" xfId="0"/>
    <xf numFmtId="0" fontId="2" fillId="0" borderId="1" xfId="1" applyFont="1" applyBorder="1" applyProtection="1"/>
    <xf numFmtId="0" fontId="2" fillId="0" borderId="2" xfId="1" applyFont="1" applyBorder="1" applyProtection="1"/>
    <xf numFmtId="0" fontId="2" fillId="0" borderId="3" xfId="1" applyFont="1" applyBorder="1" applyProtection="1"/>
    <xf numFmtId="0" fontId="2" fillId="0" borderId="0" xfId="1" applyFont="1" applyProtection="1"/>
    <xf numFmtId="0" fontId="4" fillId="0" borderId="4" xfId="0" applyFont="1" applyFill="1" applyBorder="1" applyAlignment="1">
      <alignment vertical="center"/>
    </xf>
    <xf numFmtId="0" fontId="7" fillId="0" borderId="0" xfId="1" applyFont="1" applyFill="1" applyBorder="1" applyAlignment="1" applyProtection="1">
      <alignment vertical="center"/>
    </xf>
    <xf numFmtId="0" fontId="10" fillId="0" borderId="8" xfId="0" applyFont="1" applyFill="1" applyBorder="1" applyAlignment="1">
      <alignment vertical="center"/>
    </xf>
    <xf numFmtId="0" fontId="7" fillId="0" borderId="0" xfId="1" applyFont="1" applyAlignment="1" applyProtection="1">
      <alignment vertical="center"/>
    </xf>
    <xf numFmtId="0" fontId="11" fillId="0" borderId="0" xfId="1" applyFont="1" applyFill="1" applyBorder="1" applyAlignment="1" applyProtection="1">
      <alignment vertical="center"/>
    </xf>
    <xf numFmtId="0" fontId="11" fillId="0" borderId="0" xfId="1" applyFont="1" applyBorder="1" applyAlignment="1" applyProtection="1">
      <alignment vertical="center"/>
    </xf>
    <xf numFmtId="0" fontId="11" fillId="0" borderId="0" xfId="1" applyFont="1" applyAlignment="1" applyProtection="1">
      <alignment vertical="center"/>
    </xf>
    <xf numFmtId="0" fontId="10" fillId="0" borderId="0" xfId="0" applyFont="1" applyFill="1" applyBorder="1" applyAlignment="1">
      <alignment vertical="center"/>
    </xf>
    <xf numFmtId="0" fontId="7" fillId="0" borderId="0" xfId="1" applyFont="1" applyAlignment="1">
      <alignment vertical="center"/>
    </xf>
    <xf numFmtId="0" fontId="13" fillId="0" borderId="9" xfId="0" applyFont="1" applyBorder="1" applyAlignment="1">
      <alignment horizontal="left" vertical="center" wrapText="1" indent="1"/>
    </xf>
    <xf numFmtId="0" fontId="13" fillId="0" borderId="0" xfId="0" applyFont="1" applyBorder="1" applyAlignment="1">
      <alignment horizontal="left" vertical="center" wrapText="1" indent="1"/>
    </xf>
    <xf numFmtId="0" fontId="2" fillId="0" borderId="0" xfId="0" applyFont="1" applyBorder="1" applyAlignment="1">
      <alignment horizontal="left" vertical="center" wrapText="1"/>
    </xf>
    <xf numFmtId="0" fontId="13" fillId="0" borderId="10" xfId="0" applyFont="1" applyBorder="1" applyAlignment="1">
      <alignment horizontal="left" vertical="center" wrapText="1" indent="1"/>
    </xf>
    <xf numFmtId="0" fontId="10" fillId="0" borderId="0" xfId="0" applyFont="1" applyBorder="1"/>
    <xf numFmtId="0" fontId="14" fillId="0" borderId="0" xfId="0" applyFont="1" applyFill="1" applyBorder="1" applyAlignment="1">
      <alignment horizontal="center" vertical="center" shrinkToFit="1"/>
    </xf>
    <xf numFmtId="0" fontId="10" fillId="0" borderId="0" xfId="0" applyFont="1" applyFill="1" applyBorder="1" applyAlignment="1">
      <alignment horizontal="center" vertical="center"/>
    </xf>
    <xf numFmtId="0" fontId="17" fillId="2" borderId="0" xfId="0" applyFont="1" applyFill="1" applyBorder="1" applyAlignment="1">
      <alignment horizontal="center" vertical="center" wrapText="1"/>
    </xf>
    <xf numFmtId="0" fontId="7" fillId="0" borderId="4" xfId="0" applyFont="1" applyFill="1" applyBorder="1" applyAlignment="1">
      <alignment vertical="center"/>
    </xf>
    <xf numFmtId="0" fontId="7" fillId="0" borderId="0" xfId="1" applyFont="1" applyFill="1" applyBorder="1" applyAlignment="1" applyProtection="1">
      <alignment horizontal="left" vertical="center" indent="1"/>
    </xf>
    <xf numFmtId="0" fontId="7" fillId="0" borderId="8" xfId="0" applyFont="1" applyFill="1" applyBorder="1" applyAlignment="1">
      <alignment vertical="center"/>
    </xf>
    <xf numFmtId="0" fontId="5" fillId="0" borderId="0" xfId="1" applyFont="1" applyFill="1" applyBorder="1" applyAlignment="1" applyProtection="1">
      <alignment horizontal="left" vertical="center" indent="1"/>
    </xf>
    <xf numFmtId="0" fontId="5" fillId="0" borderId="0" xfId="1" applyFont="1" applyFill="1" applyBorder="1" applyAlignment="1" applyProtection="1">
      <alignment horizontal="left" vertical="center"/>
    </xf>
    <xf numFmtId="0" fontId="7" fillId="0" borderId="9" xfId="1" applyFont="1" applyFill="1" applyBorder="1" applyAlignment="1" applyProtection="1">
      <alignment horizontal="left" vertical="center" indent="1"/>
    </xf>
    <xf numFmtId="0" fontId="7" fillId="0" borderId="10" xfId="1" applyFont="1" applyFill="1" applyBorder="1" applyAlignment="1" applyProtection="1">
      <alignment horizontal="left" vertical="center" indent="1"/>
    </xf>
    <xf numFmtId="0" fontId="7" fillId="0" borderId="0" xfId="0" applyFont="1" applyFill="1" applyBorder="1" applyAlignment="1">
      <alignment horizontal="left" vertical="top"/>
    </xf>
    <xf numFmtId="0" fontId="7" fillId="0" borderId="0" xfId="0" applyFont="1" applyFill="1" applyBorder="1" applyAlignment="1">
      <alignment vertical="center"/>
    </xf>
    <xf numFmtId="0" fontId="7" fillId="0" borderId="0" xfId="1" applyFont="1" applyFill="1" applyBorder="1" applyAlignment="1" applyProtection="1"/>
    <xf numFmtId="0" fontId="7" fillId="0" borderId="9" xfId="1" applyFont="1" applyFill="1" applyBorder="1" applyAlignment="1" applyProtection="1"/>
    <xf numFmtId="0" fontId="10" fillId="0" borderId="0" xfId="0" applyFont="1" applyFill="1" applyBorder="1" applyAlignment="1">
      <alignment horizontal="left" vertical="center"/>
    </xf>
    <xf numFmtId="0" fontId="10" fillId="0" borderId="0" xfId="0" applyFont="1" applyFill="1" applyBorder="1" applyAlignment="1"/>
    <xf numFmtId="0" fontId="19" fillId="0" borderId="0" xfId="1" applyFont="1" applyFill="1" applyBorder="1" applyAlignment="1" applyProtection="1"/>
    <xf numFmtId="0" fontId="12" fillId="0" borderId="0" xfId="0" applyFont="1" applyFill="1" applyBorder="1" applyAlignment="1">
      <alignment horizontal="left" vertical="center"/>
    </xf>
    <xf numFmtId="0" fontId="19" fillId="0" borderId="0" xfId="0" applyFont="1" applyFill="1" applyBorder="1" applyAlignment="1"/>
    <xf numFmtId="0" fontId="12" fillId="0" borderId="0" xfId="0" applyFont="1" applyFill="1" applyBorder="1" applyAlignment="1"/>
    <xf numFmtId="0" fontId="12" fillId="0" borderId="0" xfId="0" applyFont="1" applyFill="1" applyBorder="1" applyAlignment="1" applyProtection="1">
      <alignment horizontal="left" vertical="center"/>
    </xf>
    <xf numFmtId="0" fontId="7" fillId="0" borderId="8" xfId="0" applyFont="1" applyFill="1" applyBorder="1" applyAlignment="1" applyProtection="1">
      <alignment vertical="center"/>
    </xf>
    <xf numFmtId="0" fontId="7" fillId="0" borderId="17" xfId="0" applyFont="1" applyFill="1" applyBorder="1" applyAlignment="1">
      <alignment vertical="center"/>
    </xf>
    <xf numFmtId="0" fontId="12" fillId="0" borderId="18" xfId="0" applyFont="1" applyFill="1" applyBorder="1" applyAlignment="1">
      <alignment horizontal="left" vertical="center"/>
    </xf>
    <xf numFmtId="0" fontId="12" fillId="0" borderId="18" xfId="1" applyFont="1" applyFill="1" applyBorder="1" applyAlignment="1" applyProtection="1"/>
    <xf numFmtId="0" fontId="10" fillId="0" borderId="18" xfId="0" applyFont="1" applyFill="1" applyBorder="1" applyAlignment="1">
      <alignment horizontal="left" vertical="center"/>
    </xf>
    <xf numFmtId="0" fontId="12" fillId="0" borderId="18" xfId="0" applyFont="1" applyFill="1" applyBorder="1" applyAlignment="1"/>
    <xf numFmtId="0" fontId="12" fillId="0" borderId="18" xfId="0" applyFont="1" applyFill="1" applyBorder="1" applyAlignment="1" applyProtection="1">
      <alignment horizontal="left" vertical="center"/>
    </xf>
    <xf numFmtId="0" fontId="12" fillId="0" borderId="0" xfId="1" applyFont="1" applyFill="1" applyBorder="1" applyAlignment="1" applyProtection="1"/>
    <xf numFmtId="0" fontId="19" fillId="0" borderId="0" xfId="0" applyFont="1" applyFill="1" applyBorder="1" applyAlignment="1" applyProtection="1">
      <protection locked="0"/>
    </xf>
    <xf numFmtId="0" fontId="2" fillId="0" borderId="0" xfId="1" applyFont="1" applyBorder="1" applyProtection="1"/>
    <xf numFmtId="0" fontId="0" fillId="0" borderId="9" xfId="0" applyBorder="1" applyAlignment="1">
      <alignment horizontal="left" vertical="top" wrapText="1" indent="1"/>
    </xf>
    <xf numFmtId="0" fontId="0" fillId="0" borderId="0" xfId="0" applyBorder="1" applyAlignment="1">
      <alignment horizontal="left" vertical="top" wrapText="1" indent="1"/>
    </xf>
    <xf numFmtId="0" fontId="0" fillId="0" borderId="10" xfId="0" applyBorder="1" applyAlignment="1">
      <alignment horizontal="left" vertical="top" wrapText="1" indent="1"/>
    </xf>
    <xf numFmtId="0" fontId="0" fillId="0" borderId="11" xfId="0" applyBorder="1" applyAlignment="1">
      <alignment horizontal="left" vertical="top" wrapText="1" indent="1"/>
    </xf>
    <xf numFmtId="0" fontId="0" fillId="0" borderId="12" xfId="0" applyBorder="1" applyAlignment="1">
      <alignment horizontal="left" vertical="top" wrapText="1" indent="1"/>
    </xf>
    <xf numFmtId="0" fontId="0" fillId="0" borderId="13" xfId="0" applyBorder="1" applyAlignment="1">
      <alignment horizontal="left" vertical="top" wrapText="1" indent="1"/>
    </xf>
    <xf numFmtId="0" fontId="0" fillId="0" borderId="10" xfId="0" applyBorder="1" applyAlignment="1">
      <alignment vertical="center" wrapText="1"/>
    </xf>
    <xf numFmtId="0" fontId="0" fillId="0" borderId="9" xfId="0" applyBorder="1" applyAlignment="1">
      <alignment vertical="center" wrapText="1"/>
    </xf>
    <xf numFmtId="0" fontId="10" fillId="0" borderId="5" xfId="0" applyFont="1" applyFill="1" applyBorder="1" applyAlignment="1">
      <alignment vertical="center" wrapText="1"/>
    </xf>
    <xf numFmtId="0" fontId="0" fillId="0" borderId="6" xfId="0" applyBorder="1" applyAlignment="1">
      <alignment vertical="center" wrapText="1"/>
    </xf>
    <xf numFmtId="0" fontId="0" fillId="0" borderId="7" xfId="0" applyBorder="1" applyAlignment="1">
      <alignment vertical="center" wrapText="1"/>
    </xf>
    <xf numFmtId="0" fontId="0" fillId="0" borderId="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10" fillId="0" borderId="0" xfId="0" applyFont="1" applyBorder="1" applyAlignment="1">
      <alignment vertical="center" wrapText="1"/>
    </xf>
    <xf numFmtId="0" fontId="0" fillId="0" borderId="20" xfId="0" applyBorder="1" applyAlignment="1">
      <alignment vertical="center" wrapText="1"/>
    </xf>
    <xf numFmtId="0" fontId="10" fillId="0" borderId="9" xfId="1" applyFont="1" applyFill="1" applyBorder="1" applyAlignment="1" applyProtection="1">
      <alignment horizontal="left" vertical="center" indent="1"/>
    </xf>
    <xf numFmtId="0" fontId="29" fillId="0" borderId="0" xfId="0" applyFont="1" applyBorder="1" applyAlignment="1">
      <alignment horizontal="center" vertical="center"/>
    </xf>
    <xf numFmtId="0" fontId="10" fillId="0" borderId="9" xfId="1" applyFont="1" applyFill="1" applyBorder="1" applyAlignment="1" applyProtection="1"/>
    <xf numFmtId="0" fontId="10" fillId="0" borderId="0" xfId="0" applyFont="1" applyBorder="1" applyAlignment="1">
      <alignment horizontal="left" vertical="center"/>
    </xf>
    <xf numFmtId="0" fontId="19" fillId="0" borderId="9" xfId="1" applyFont="1" applyFill="1" applyBorder="1" applyAlignment="1" applyProtection="1"/>
    <xf numFmtId="0" fontId="18" fillId="0" borderId="0" xfId="0" applyFont="1" applyFill="1" applyBorder="1" applyAlignment="1">
      <alignment vertical="center"/>
    </xf>
    <xf numFmtId="0" fontId="27" fillId="0" borderId="9" xfId="0" applyFont="1" applyBorder="1" applyAlignment="1">
      <alignment horizontal="left" vertical="center" indent="1"/>
    </xf>
    <xf numFmtId="0" fontId="0" fillId="0" borderId="10" xfId="0" applyFill="1" applyBorder="1" applyAlignment="1">
      <alignment vertical="center" wrapText="1"/>
    </xf>
    <xf numFmtId="0" fontId="6" fillId="0" borderId="0" xfId="0" applyFont="1" applyFill="1" applyBorder="1" applyAlignment="1"/>
    <xf numFmtId="0" fontId="6" fillId="0" borderId="0" xfId="1" applyFont="1" applyProtection="1"/>
    <xf numFmtId="0" fontId="6" fillId="6" borderId="0" xfId="1" applyFont="1" applyFill="1" applyProtection="1"/>
    <xf numFmtId="0" fontId="26" fillId="0" borderId="0" xfId="1" applyFont="1" applyAlignment="1" applyProtection="1">
      <alignment horizontal="left" indent="1"/>
    </xf>
    <xf numFmtId="0" fontId="26" fillId="0" borderId="0" xfId="0" applyFont="1" applyFill="1" applyBorder="1" applyAlignment="1">
      <alignment horizontal="left" vertical="center" indent="1"/>
    </xf>
    <xf numFmtId="0" fontId="6" fillId="4" borderId="0" xfId="0" applyFont="1" applyFill="1" applyBorder="1" applyAlignment="1">
      <alignment vertical="center"/>
    </xf>
    <xf numFmtId="0" fontId="19" fillId="4" borderId="0" xfId="0" applyFont="1" applyFill="1" applyBorder="1" applyAlignment="1"/>
    <xf numFmtId="0" fontId="19" fillId="6" borderId="0" xfId="0" applyFont="1" applyFill="1" applyBorder="1" applyAlignment="1"/>
    <xf numFmtId="0" fontId="6" fillId="5" borderId="0" xfId="0" applyFont="1" applyFill="1" applyBorder="1" applyAlignment="1"/>
    <xf numFmtId="0" fontId="19" fillId="5" borderId="0" xfId="0" applyFont="1" applyFill="1" applyBorder="1" applyAlignment="1"/>
    <xf numFmtId="0" fontId="6" fillId="5" borderId="0" xfId="0" applyFont="1" applyFill="1" applyBorder="1" applyAlignment="1">
      <alignment vertical="center"/>
    </xf>
    <xf numFmtId="0" fontId="6" fillId="6" borderId="0" xfId="1" applyFont="1" applyFill="1" applyAlignment="1" applyProtection="1"/>
    <xf numFmtId="0" fontId="19" fillId="0" borderId="9" xfId="0" applyFont="1" applyFill="1" applyBorder="1" applyAlignment="1"/>
    <xf numFmtId="0" fontId="19" fillId="0" borderId="11" xfId="0" applyFont="1" applyFill="1" applyBorder="1" applyAlignment="1"/>
    <xf numFmtId="0" fontId="6" fillId="4" borderId="0" xfId="0" applyFont="1" applyFill="1" applyBorder="1" applyAlignment="1">
      <alignment vertical="center" wrapText="1"/>
    </xf>
    <xf numFmtId="0" fontId="6" fillId="5" borderId="0" xfId="0" applyFont="1" applyFill="1" applyBorder="1" applyAlignment="1">
      <alignment vertical="center" wrapText="1"/>
    </xf>
    <xf numFmtId="0" fontId="10" fillId="0" borderId="0" xfId="1" applyFont="1" applyProtection="1"/>
    <xf numFmtId="0" fontId="10" fillId="4" borderId="0" xfId="1" applyFont="1" applyFill="1" applyProtection="1"/>
    <xf numFmtId="0" fontId="10" fillId="4" borderId="0" xfId="1" applyFont="1" applyFill="1" applyBorder="1" applyProtection="1"/>
    <xf numFmtId="0" fontId="10" fillId="5" borderId="0" xfId="1" applyFont="1" applyFill="1" applyProtection="1"/>
    <xf numFmtId="0" fontId="10" fillId="5" borderId="0" xfId="1" applyFont="1" applyFill="1" applyBorder="1" applyProtection="1"/>
    <xf numFmtId="0" fontId="10" fillId="6" borderId="0" xfId="1" applyFont="1" applyFill="1" applyProtection="1"/>
    <xf numFmtId="0" fontId="10" fillId="6" borderId="0" xfId="1" applyFont="1" applyFill="1" applyBorder="1" applyProtection="1"/>
    <xf numFmtId="0" fontId="5" fillId="4" borderId="0" xfId="0" applyFont="1" applyFill="1" applyBorder="1" applyAlignment="1"/>
    <xf numFmtId="0" fontId="5" fillId="5" borderId="0" xfId="0" applyFont="1" applyFill="1" applyBorder="1" applyAlignment="1"/>
    <xf numFmtId="0" fontId="0" fillId="0" borderId="12" xfId="0" applyBorder="1" applyAlignment="1">
      <alignment horizontal="center" vertical="center" wrapText="1"/>
    </xf>
    <xf numFmtId="0" fontId="5" fillId="6" borderId="0" xfId="0" applyFont="1" applyFill="1" applyBorder="1" applyAlignment="1"/>
    <xf numFmtId="0" fontId="33" fillId="0" borderId="9" xfId="1" applyFont="1" applyFill="1" applyBorder="1" applyAlignment="1" applyProtection="1">
      <alignment horizontal="center" vertical="center"/>
    </xf>
    <xf numFmtId="0" fontId="12" fillId="0" borderId="9" xfId="1" applyFont="1" applyFill="1" applyBorder="1" applyAlignment="1" applyProtection="1">
      <alignment horizontal="center" vertical="center"/>
    </xf>
    <xf numFmtId="0" fontId="33" fillId="0" borderId="9" xfId="0" applyFont="1" applyBorder="1" applyAlignment="1">
      <alignment horizontal="left" vertical="center" indent="1"/>
    </xf>
    <xf numFmtId="0" fontId="33" fillId="0" borderId="9" xfId="0" applyFont="1" applyBorder="1" applyAlignment="1">
      <alignment horizontal="center" vertical="center"/>
    </xf>
    <xf numFmtId="0" fontId="26" fillId="4" borderId="0" xfId="0" applyFont="1" applyFill="1" applyBorder="1" applyAlignment="1">
      <alignment horizontal="left" vertical="center" indent="1"/>
    </xf>
    <xf numFmtId="0" fontId="26" fillId="5" borderId="0" xfId="0" applyFont="1" applyFill="1" applyBorder="1" applyAlignment="1">
      <alignment horizontal="left" vertical="center" indent="1"/>
    </xf>
    <xf numFmtId="0" fontId="26" fillId="6" borderId="0" xfId="1" applyFont="1" applyFill="1" applyAlignment="1" applyProtection="1">
      <alignment horizontal="left" indent="1"/>
    </xf>
    <xf numFmtId="0" fontId="10" fillId="0" borderId="0" xfId="0" applyFont="1" applyFill="1" applyBorder="1" applyAlignment="1">
      <alignment vertical="center" wrapText="1"/>
    </xf>
    <xf numFmtId="0" fontId="0" fillId="0" borderId="0" xfId="0" applyFill="1" applyBorder="1" applyAlignment="1">
      <alignment vertical="center" wrapText="1"/>
    </xf>
    <xf numFmtId="0" fontId="6" fillId="0" borderId="0" xfId="0" applyFont="1" applyFill="1" applyBorder="1" applyAlignment="1">
      <alignment horizontal="center" vertical="center" wrapText="1"/>
    </xf>
    <xf numFmtId="0" fontId="29" fillId="0" borderId="0" xfId="0" applyFont="1" applyFill="1" applyBorder="1" applyAlignment="1">
      <alignment horizontal="center" vertical="center"/>
    </xf>
    <xf numFmtId="0" fontId="24" fillId="0" borderId="0" xfId="0" applyFont="1" applyFill="1" applyBorder="1" applyAlignment="1">
      <alignment vertical="center" wrapText="1"/>
    </xf>
    <xf numFmtId="0" fontId="10" fillId="0" borderId="0" xfId="0" applyFont="1" applyFill="1" applyBorder="1" applyAlignment="1">
      <alignment horizontal="center"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27" fillId="0" borderId="9" xfId="0" applyFont="1" applyFill="1" applyBorder="1" applyAlignment="1">
      <alignment horizontal="left" vertical="center"/>
    </xf>
    <xf numFmtId="0" fontId="0" fillId="0" borderId="9"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34" fillId="2" borderId="0" xfId="0" applyFont="1" applyFill="1" applyBorder="1" applyAlignment="1"/>
    <xf numFmtId="0" fontId="0" fillId="0" borderId="15" xfId="0" applyBorder="1" applyAlignment="1">
      <alignment horizontal="left" vertical="top" wrapText="1" indent="1"/>
    </xf>
    <xf numFmtId="0" fontId="0" fillId="0" borderId="5" xfId="0" applyBorder="1" applyAlignment="1">
      <alignment vertical="center" wrapText="1"/>
    </xf>
    <xf numFmtId="0" fontId="0" fillId="0" borderId="0" xfId="0" applyBorder="1" applyAlignment="1">
      <alignment horizontal="left" vertical="center" wrapText="1" indent="1"/>
    </xf>
    <xf numFmtId="0" fontId="19" fillId="0" borderId="10" xfId="0" applyFont="1" applyFill="1" applyBorder="1" applyAlignment="1"/>
    <xf numFmtId="0" fontId="19" fillId="0" borderId="12" xfId="0" applyFont="1" applyFill="1" applyBorder="1" applyAlignment="1"/>
    <xf numFmtId="0" fontId="19" fillId="0" borderId="13" xfId="0" applyFont="1" applyFill="1" applyBorder="1" applyAlignment="1"/>
    <xf numFmtId="0" fontId="19" fillId="0" borderId="6" xfId="0" applyFont="1" applyFill="1" applyBorder="1" applyAlignment="1"/>
    <xf numFmtId="0" fontId="23" fillId="0" borderId="5" xfId="0" applyFont="1" applyFill="1" applyBorder="1" applyAlignment="1">
      <alignment horizontal="left" vertical="center" indent="1"/>
    </xf>
    <xf numFmtId="0" fontId="19" fillId="0" borderId="7" xfId="0" applyFont="1" applyFill="1" applyBorder="1" applyAlignment="1"/>
    <xf numFmtId="0" fontId="19" fillId="0" borderId="10" xfId="1" applyFont="1" applyFill="1" applyBorder="1" applyAlignment="1" applyProtection="1"/>
    <xf numFmtId="0" fontId="19" fillId="0" borderId="11" xfId="1" applyFont="1" applyFill="1" applyBorder="1" applyAlignment="1" applyProtection="1"/>
    <xf numFmtId="0" fontId="19" fillId="0" borderId="12" xfId="1" applyFont="1" applyFill="1" applyBorder="1" applyAlignment="1" applyProtection="1"/>
    <xf numFmtId="0" fontId="19" fillId="0" borderId="13" xfId="1" applyFont="1" applyFill="1" applyBorder="1" applyAlignment="1" applyProtection="1"/>
    <xf numFmtId="0" fontId="29" fillId="0" borderId="6" xfId="0" applyFont="1" applyFill="1" applyBorder="1" applyAlignment="1">
      <alignment horizontal="center" vertical="center"/>
    </xf>
    <xf numFmtId="0" fontId="24" fillId="0" borderId="6" xfId="0" applyFont="1" applyFill="1" applyBorder="1" applyAlignment="1">
      <alignment vertical="center" wrapText="1"/>
    </xf>
    <xf numFmtId="0" fontId="10" fillId="0" borderId="6" xfId="0" applyFont="1" applyFill="1" applyBorder="1" applyAlignment="1">
      <alignment horizontal="center" vertical="center" wrapText="1"/>
    </xf>
    <xf numFmtId="0" fontId="19" fillId="0" borderId="6" xfId="1" applyFont="1" applyFill="1" applyBorder="1" applyAlignment="1" applyProtection="1"/>
    <xf numFmtId="0" fontId="19" fillId="0" borderId="5" xfId="0" applyFont="1" applyFill="1" applyBorder="1" applyAlignment="1"/>
    <xf numFmtId="0" fontId="0" fillId="0" borderId="6" xfId="0" applyBorder="1" applyAlignment="1">
      <alignment horizontal="left" vertical="top" wrapText="1" indent="2"/>
    </xf>
    <xf numFmtId="0" fontId="0" fillId="0" borderId="6" xfId="0" applyBorder="1" applyAlignment="1">
      <alignment horizontal="left" wrapText="1" indent="2"/>
    </xf>
    <xf numFmtId="0" fontId="0" fillId="0" borderId="5" xfId="0" applyFill="1" applyBorder="1" applyAlignment="1">
      <alignment vertical="center" wrapText="1"/>
    </xf>
    <xf numFmtId="0" fontId="5" fillId="0" borderId="10" xfId="1" applyFont="1" applyFill="1" applyBorder="1" applyAlignment="1" applyProtection="1">
      <alignment horizontal="left" vertical="center" indent="1"/>
    </xf>
    <xf numFmtId="0" fontId="0" fillId="0" borderId="0" xfId="0" applyBorder="1" applyAlignment="1">
      <alignment horizontal="left" vertical="top" indent="1"/>
    </xf>
    <xf numFmtId="0" fontId="19" fillId="0" borderId="0" xfId="0" applyFont="1" applyFill="1" applyBorder="1" applyAlignment="1">
      <alignment horizontal="left" vertical="top" indent="1"/>
    </xf>
    <xf numFmtId="0" fontId="2" fillId="7" borderId="0" xfId="1" applyFont="1" applyFill="1" applyBorder="1" applyProtection="1"/>
    <xf numFmtId="0" fontId="19" fillId="0" borderId="5" xfId="1" applyFont="1" applyFill="1" applyBorder="1" applyAlignment="1" applyProtection="1"/>
    <xf numFmtId="0" fontId="19" fillId="0" borderId="7" xfId="1" applyFont="1" applyFill="1" applyBorder="1" applyAlignment="1" applyProtection="1"/>
    <xf numFmtId="0" fontId="10" fillId="0" borderId="6" xfId="1" applyFont="1" applyFill="1" applyBorder="1" applyAlignment="1" applyProtection="1"/>
    <xf numFmtId="0" fontId="37" fillId="0" borderId="0" xfId="1" applyFont="1" applyBorder="1" applyProtection="1"/>
    <xf numFmtId="0" fontId="0" fillId="0" borderId="9" xfId="0" applyBorder="1" applyAlignment="1">
      <alignment horizontal="left" vertical="top" wrapText="1" indent="1"/>
    </xf>
    <xf numFmtId="0" fontId="0" fillId="0" borderId="0" xfId="0" applyBorder="1" applyAlignment="1">
      <alignment horizontal="left" vertical="top" wrapText="1" indent="1"/>
    </xf>
    <xf numFmtId="0" fontId="19" fillId="0" borderId="0" xfId="0" applyFont="1" applyFill="1" applyBorder="1" applyAlignment="1">
      <alignment vertical="center"/>
    </xf>
    <xf numFmtId="0" fontId="21" fillId="0" borderId="0" xfId="0" applyFont="1" applyFill="1" applyBorder="1" applyAlignment="1">
      <alignment vertical="center"/>
    </xf>
    <xf numFmtId="0" fontId="19" fillId="0" borderId="18" xfId="0" applyFont="1" applyFill="1" applyBorder="1" applyAlignment="1">
      <alignment vertical="center"/>
    </xf>
    <xf numFmtId="0" fontId="7" fillId="0" borderId="19" xfId="0" applyFont="1" applyFill="1" applyBorder="1" applyAlignment="1">
      <alignment vertical="center"/>
    </xf>
    <xf numFmtId="0" fontId="0" fillId="0" borderId="0" xfId="0" applyBorder="1" applyAlignment="1">
      <alignment horizontal="left" vertical="top" wrapText="1" indent="1"/>
    </xf>
    <xf numFmtId="0" fontId="25" fillId="0" borderId="0" xfId="0" applyFont="1" applyAlignment="1">
      <alignment horizontal="center" vertical="center"/>
    </xf>
    <xf numFmtId="0" fontId="0" fillId="0" borderId="0" xfId="0" applyBorder="1" applyAlignment="1">
      <alignment horizontal="left" vertical="top" wrapText="1" indent="1"/>
    </xf>
    <xf numFmtId="0" fontId="5" fillId="0" borderId="0" xfId="1" applyFont="1" applyFill="1" applyBorder="1" applyAlignment="1" applyProtection="1">
      <alignment horizontal="center" vertical="center"/>
    </xf>
    <xf numFmtId="0" fontId="10" fillId="0" borderId="5" xfId="0" applyFont="1" applyFill="1" applyBorder="1" applyAlignment="1">
      <alignment horizontal="left" vertical="center" indent="1"/>
    </xf>
    <xf numFmtId="0" fontId="18" fillId="0" borderId="6" xfId="0" applyFont="1" applyFill="1" applyBorder="1" applyAlignment="1">
      <alignment horizontal="left" vertical="center" indent="1"/>
    </xf>
    <xf numFmtId="0" fontId="18" fillId="0" borderId="6" xfId="1" applyFont="1" applyFill="1" applyBorder="1" applyAlignment="1" applyProtection="1">
      <alignment horizontal="left" vertical="center" indent="1"/>
    </xf>
    <xf numFmtId="0" fontId="18" fillId="0" borderId="20" xfId="0" applyFont="1" applyFill="1" applyBorder="1" applyAlignment="1">
      <alignment horizontal="left" vertical="center" indent="1"/>
    </xf>
    <xf numFmtId="0" fontId="18" fillId="0" borderId="7" xfId="1" applyFont="1" applyFill="1" applyBorder="1" applyAlignment="1" applyProtection="1">
      <alignment horizontal="left" vertical="center" indent="1"/>
    </xf>
    <xf numFmtId="0" fontId="23" fillId="0" borderId="9" xfId="1" applyFont="1" applyFill="1" applyBorder="1" applyAlignment="1" applyProtection="1">
      <alignment horizontal="left" vertical="center" indent="1"/>
    </xf>
    <xf numFmtId="0" fontId="18" fillId="0" borderId="0" xfId="1" applyFont="1" applyFill="1" applyBorder="1" applyAlignment="1" applyProtection="1">
      <alignment horizontal="left" vertical="center" indent="1"/>
    </xf>
    <xf numFmtId="0" fontId="10" fillId="0" borderId="0" xfId="1" applyFont="1" applyFill="1" applyBorder="1" applyAlignment="1" applyProtection="1">
      <alignment horizontal="left" vertical="center" indent="1"/>
    </xf>
    <xf numFmtId="0" fontId="10" fillId="0" borderId="0" xfId="0" applyFont="1" applyFill="1" applyBorder="1" applyAlignment="1">
      <alignment horizontal="left" vertical="center" indent="1"/>
    </xf>
    <xf numFmtId="0" fontId="19" fillId="0" borderId="0" xfId="0" applyFont="1" applyFill="1" applyBorder="1" applyAlignment="1">
      <alignment horizontal="left" vertical="center" indent="1"/>
    </xf>
    <xf numFmtId="0" fontId="10" fillId="0" borderId="0" xfId="0" applyFont="1" applyBorder="1" applyAlignment="1">
      <alignment horizontal="left" vertical="center" indent="1"/>
    </xf>
    <xf numFmtId="0" fontId="10" fillId="0" borderId="20" xfId="0" applyFont="1" applyBorder="1" applyAlignment="1">
      <alignment horizontal="left" vertical="center" indent="1"/>
    </xf>
    <xf numFmtId="0" fontId="23" fillId="0" borderId="9" xfId="0" applyFont="1" applyFill="1" applyBorder="1" applyAlignment="1">
      <alignment horizontal="left" vertical="center" indent="1"/>
    </xf>
    <xf numFmtId="0" fontId="10" fillId="0" borderId="10" xfId="0" applyFont="1" applyFill="1" applyBorder="1" applyAlignment="1">
      <alignment horizontal="left" vertical="center" indent="1"/>
    </xf>
    <xf numFmtId="0" fontId="10" fillId="0" borderId="20" xfId="0" applyFont="1" applyBorder="1" applyAlignment="1">
      <alignment horizontal="left" vertical="center"/>
    </xf>
    <xf numFmtId="0" fontId="7" fillId="0" borderId="9" xfId="0" applyFont="1" applyFill="1" applyBorder="1" applyAlignment="1"/>
    <xf numFmtId="0" fontId="7" fillId="0" borderId="20" xfId="0" applyFont="1" applyFill="1" applyBorder="1" applyAlignment="1">
      <alignment horizontal="left" vertical="top"/>
    </xf>
    <xf numFmtId="0" fontId="7" fillId="0" borderId="0" xfId="0" applyFont="1" applyFill="1" applyBorder="1" applyAlignment="1" applyProtection="1">
      <alignment horizontal="left" vertical="top"/>
    </xf>
    <xf numFmtId="0" fontId="7" fillId="0" borderId="10" xfId="0" applyFont="1" applyFill="1" applyBorder="1" applyAlignment="1">
      <alignment horizontal="left" vertical="top"/>
    </xf>
    <xf numFmtId="0" fontId="7" fillId="0" borderId="20" xfId="1" applyFont="1" applyFill="1" applyBorder="1" applyAlignment="1" applyProtection="1"/>
    <xf numFmtId="0" fontId="7" fillId="0" borderId="10" xfId="1" applyFont="1" applyFill="1" applyBorder="1" applyAlignment="1" applyProtection="1"/>
    <xf numFmtId="0" fontId="10" fillId="0" borderId="9" xfId="0" applyFont="1" applyFill="1" applyBorder="1" applyAlignment="1">
      <alignment horizontal="left" vertical="center" indent="1"/>
    </xf>
    <xf numFmtId="0" fontId="10" fillId="0" borderId="20" xfId="0" applyFont="1" applyFill="1" applyBorder="1" applyAlignment="1">
      <alignment horizontal="left" vertical="center" indent="1"/>
    </xf>
    <xf numFmtId="0" fontId="5" fillId="0" borderId="20" xfId="1" applyFont="1" applyFill="1" applyBorder="1" applyAlignment="1" applyProtection="1">
      <alignment horizontal="left" vertical="center" indent="1"/>
    </xf>
    <xf numFmtId="16" fontId="10" fillId="0" borderId="0" xfId="0" applyNumberFormat="1" applyFont="1" applyFill="1" applyBorder="1" applyAlignment="1">
      <alignment horizontal="left" vertical="center" indent="1"/>
    </xf>
    <xf numFmtId="164" fontId="10" fillId="0" borderId="0" xfId="0" applyNumberFormat="1" applyFont="1" applyFill="1" applyBorder="1" applyAlignment="1">
      <alignment horizontal="left" vertical="center" indent="1"/>
    </xf>
    <xf numFmtId="0" fontId="18" fillId="0" borderId="9" xfId="0" applyFont="1" applyFill="1" applyBorder="1" applyAlignment="1">
      <alignment horizontal="left" vertical="center" indent="1"/>
    </xf>
    <xf numFmtId="0" fontId="0" fillId="0" borderId="0" xfId="0" applyAlignment="1">
      <alignment horizontal="left" vertical="top" wrapText="1"/>
    </xf>
    <xf numFmtId="0" fontId="18" fillId="0" borderId="9" xfId="1" applyFont="1" applyFill="1" applyBorder="1" applyAlignment="1" applyProtection="1">
      <alignment horizontal="left" vertical="center" indent="1"/>
    </xf>
    <xf numFmtId="0" fontId="10" fillId="0" borderId="11" xfId="0" applyFont="1" applyFill="1" applyBorder="1" applyAlignment="1">
      <alignment horizontal="left" vertical="center" indent="1"/>
    </xf>
    <xf numFmtId="0" fontId="10" fillId="0" borderId="12" xfId="0" applyFont="1" applyFill="1" applyBorder="1" applyAlignment="1">
      <alignment horizontal="left" vertical="center" indent="1"/>
    </xf>
    <xf numFmtId="0" fontId="10" fillId="0" borderId="13" xfId="0" applyFont="1" applyFill="1" applyBorder="1" applyAlignment="1">
      <alignment horizontal="left" vertical="center" indent="1"/>
    </xf>
    <xf numFmtId="0" fontId="40" fillId="0" borderId="0" xfId="0" applyFont="1"/>
    <xf numFmtId="0" fontId="10" fillId="0" borderId="0" xfId="0" applyFont="1"/>
    <xf numFmtId="0" fontId="41" fillId="0" borderId="0" xfId="1" applyFont="1" applyBorder="1" applyAlignment="1" applyProtection="1">
      <alignment horizontal="center"/>
    </xf>
    <xf numFmtId="0" fontId="41" fillId="9" borderId="0" xfId="1" applyFont="1" applyFill="1" applyBorder="1" applyAlignment="1" applyProtection="1">
      <alignment horizontal="center"/>
    </xf>
    <xf numFmtId="0" fontId="41" fillId="8" borderId="0" xfId="1" applyFont="1" applyFill="1" applyBorder="1" applyAlignment="1" applyProtection="1">
      <alignment horizontal="center"/>
    </xf>
    <xf numFmtId="0" fontId="42" fillId="9" borderId="0" xfId="1" applyFont="1" applyFill="1" applyBorder="1" applyAlignment="1" applyProtection="1">
      <alignment horizontal="center"/>
    </xf>
    <xf numFmtId="0" fontId="42" fillId="8" borderId="0" xfId="1" applyFont="1" applyFill="1" applyBorder="1" applyAlignment="1" applyProtection="1">
      <alignment horizontal="center"/>
    </xf>
    <xf numFmtId="0" fontId="25" fillId="0" borderId="0" xfId="0" applyFont="1" applyAlignment="1">
      <alignment horizontal="center" vertical="center"/>
    </xf>
    <xf numFmtId="0" fontId="24" fillId="0" borderId="0" xfId="0" applyFont="1" applyBorder="1" applyAlignment="1">
      <alignment vertical="center" wrapText="1"/>
    </xf>
    <xf numFmtId="0" fontId="31" fillId="0" borderId="0" xfId="0" applyFont="1" applyBorder="1" applyAlignment="1">
      <alignment vertical="center" wrapText="1"/>
    </xf>
    <xf numFmtId="0" fontId="0" fillId="0" borderId="0" xfId="0" applyBorder="1" applyAlignment="1">
      <alignment vertical="center" wrapText="1"/>
    </xf>
    <xf numFmtId="0" fontId="10" fillId="3" borderId="21" xfId="0" applyFont="1" applyFill="1" applyBorder="1" applyAlignment="1">
      <alignment horizontal="center" vertical="center" wrapText="1"/>
    </xf>
    <xf numFmtId="0" fontId="10" fillId="3" borderId="22" xfId="0" applyFont="1" applyFill="1" applyBorder="1" applyAlignment="1">
      <alignment horizontal="center" vertical="center" wrapText="1"/>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5" fillId="0" borderId="0" xfId="1" applyFont="1" applyFill="1" applyBorder="1" applyAlignment="1" applyProtection="1">
      <alignment horizontal="center" vertical="center"/>
    </xf>
    <xf numFmtId="0" fontId="9" fillId="0" borderId="0" xfId="1" applyFont="1" applyFill="1" applyBorder="1" applyAlignment="1" applyProtection="1">
      <alignment horizontal="center" vertical="center" wrapText="1"/>
    </xf>
    <xf numFmtId="0" fontId="9" fillId="0" borderId="0" xfId="0" applyFont="1" applyAlignment="1">
      <alignment horizontal="center" vertical="center" wrapText="1"/>
    </xf>
    <xf numFmtId="0" fontId="12" fillId="0" borderId="11" xfId="0" applyFont="1" applyFill="1" applyBorder="1" applyAlignment="1">
      <alignment horizontal="left" vertical="center" indent="1"/>
    </xf>
    <xf numFmtId="0" fontId="12" fillId="0" borderId="12" xfId="0" applyFont="1" applyFill="1" applyBorder="1" applyAlignment="1">
      <alignment horizontal="left" vertical="center" indent="1"/>
    </xf>
    <xf numFmtId="0" fontId="15" fillId="0" borderId="14" xfId="1" applyFont="1" applyFill="1" applyBorder="1" applyAlignment="1" applyProtection="1">
      <alignment horizontal="center" vertical="center"/>
      <protection locked="0"/>
    </xf>
    <xf numFmtId="0" fontId="16" fillId="0" borderId="15" xfId="0" applyFont="1" applyBorder="1" applyAlignment="1" applyProtection="1">
      <alignment horizontal="center" vertical="center"/>
      <protection locked="0"/>
    </xf>
    <xf numFmtId="0" fontId="16" fillId="0" borderId="16" xfId="0" applyFont="1" applyBorder="1" applyAlignment="1" applyProtection="1">
      <alignment horizontal="center" vertical="center"/>
      <protection locked="0"/>
    </xf>
    <xf numFmtId="0" fontId="8" fillId="0" borderId="5" xfId="1" applyFont="1" applyFill="1" applyBorder="1" applyAlignment="1" applyProtection="1">
      <alignment horizontal="center" vertical="center" wrapText="1" shrinkToFit="1"/>
      <protection locked="0"/>
    </xf>
    <xf numFmtId="0" fontId="8" fillId="0" borderId="6" xfId="1" applyFont="1" applyFill="1" applyBorder="1" applyAlignment="1" applyProtection="1">
      <alignment horizontal="center" vertical="center" wrapText="1" shrinkToFit="1"/>
      <protection locked="0"/>
    </xf>
    <xf numFmtId="0" fontId="8" fillId="0" borderId="7" xfId="1" applyFont="1" applyFill="1" applyBorder="1" applyAlignment="1" applyProtection="1">
      <alignment horizontal="center" vertical="center" wrapText="1" shrinkToFit="1"/>
      <protection locked="0"/>
    </xf>
    <xf numFmtId="0" fontId="8" fillId="0" borderId="9" xfId="1" applyFont="1" applyFill="1" applyBorder="1" applyAlignment="1" applyProtection="1">
      <alignment horizontal="center" vertical="center" wrapText="1" shrinkToFit="1"/>
      <protection locked="0"/>
    </xf>
    <xf numFmtId="0" fontId="8" fillId="0" borderId="0" xfId="1" applyFont="1" applyFill="1" applyBorder="1" applyAlignment="1" applyProtection="1">
      <alignment horizontal="center" vertical="center" wrapText="1" shrinkToFit="1"/>
      <protection locked="0"/>
    </xf>
    <xf numFmtId="0" fontId="8" fillId="0" borderId="10" xfId="1" applyFont="1" applyFill="1" applyBorder="1" applyAlignment="1" applyProtection="1">
      <alignment horizontal="center" vertical="center" wrapText="1" shrinkToFit="1"/>
      <protection locked="0"/>
    </xf>
    <xf numFmtId="0" fontId="0" fillId="0" borderId="9" xfId="0" applyBorder="1" applyAlignment="1">
      <alignment vertical="center" wrapText="1"/>
    </xf>
    <xf numFmtId="0" fontId="0" fillId="0" borderId="0" xfId="0" applyAlignment="1">
      <alignment vertical="center" wrapText="1"/>
    </xf>
    <xf numFmtId="0" fontId="0" fillId="0" borderId="10" xfId="0" applyBorder="1" applyAlignment="1">
      <alignment vertical="center" wrapText="1"/>
    </xf>
    <xf numFmtId="0" fontId="12" fillId="0" borderId="12" xfId="0" applyFont="1" applyFill="1" applyBorder="1" applyAlignment="1" applyProtection="1">
      <alignment horizontal="left" vertical="center" indent="1"/>
      <protection locked="0"/>
    </xf>
    <xf numFmtId="0" fontId="0" fillId="0" borderId="12" xfId="0" applyBorder="1" applyAlignment="1">
      <alignment horizontal="left" vertical="center"/>
    </xf>
    <xf numFmtId="0" fontId="0" fillId="0" borderId="13" xfId="0" applyBorder="1" applyAlignment="1">
      <alignment horizontal="left" vertical="center"/>
    </xf>
    <xf numFmtId="0" fontId="19" fillId="0" borderId="5" xfId="0" quotePrefix="1" applyFont="1" applyFill="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8" fillId="0" borderId="0" xfId="0" applyFont="1" applyBorder="1" applyAlignment="1">
      <alignment horizontal="left" vertical="top" wrapText="1" indent="1"/>
    </xf>
    <xf numFmtId="0" fontId="0" fillId="0" borderId="0" xfId="0" applyBorder="1" applyAlignment="1">
      <alignment horizontal="left" vertical="top" wrapText="1" indent="1"/>
    </xf>
    <xf numFmtId="0" fontId="0" fillId="0" borderId="10" xfId="0" applyBorder="1" applyAlignment="1">
      <alignment horizontal="left" vertical="top" wrapText="1" indent="1"/>
    </xf>
    <xf numFmtId="0" fontId="26" fillId="0" borderId="11" xfId="2" applyFont="1" applyBorder="1" applyAlignment="1" applyProtection="1">
      <alignment horizontal="center" vertical="center"/>
    </xf>
    <xf numFmtId="0" fontId="26" fillId="0" borderId="12" xfId="2" applyFont="1" applyBorder="1" applyAlignment="1" applyProtection="1">
      <alignment horizontal="center" vertical="center"/>
    </xf>
    <xf numFmtId="0" fontId="26" fillId="0" borderId="13" xfId="2" applyFont="1" applyBorder="1" applyAlignment="1" applyProtection="1">
      <alignment horizontal="center" vertical="center"/>
    </xf>
    <xf numFmtId="0" fontId="43" fillId="0" borderId="5" xfId="0" quotePrefix="1" applyFont="1" applyFill="1" applyBorder="1" applyAlignment="1">
      <alignment horizontal="center" vertical="center" wrapText="1"/>
    </xf>
    <xf numFmtId="0" fontId="44" fillId="0" borderId="6" xfId="0" applyFont="1" applyBorder="1" applyAlignment="1">
      <alignment horizontal="center" vertical="center" wrapText="1"/>
    </xf>
    <xf numFmtId="0" fontId="44" fillId="0" borderId="7" xfId="0" applyFont="1" applyBorder="1" applyAlignment="1">
      <alignment horizontal="center" vertical="center" wrapText="1"/>
    </xf>
    <xf numFmtId="0" fontId="19" fillId="0" borderId="14" xfId="1" applyFont="1" applyFill="1" applyBorder="1" applyAlignment="1" applyProtection="1">
      <alignment horizontal="left" vertical="center" indent="1"/>
    </xf>
    <xf numFmtId="0" fontId="0" fillId="0" borderId="15" xfId="0" applyBorder="1" applyAlignment="1">
      <alignment horizontal="left" vertical="center" indent="1"/>
    </xf>
    <xf numFmtId="15" fontId="19" fillId="0" borderId="15" xfId="1" applyNumberFormat="1" applyFont="1" applyFill="1" applyBorder="1" applyAlignment="1" applyProtection="1">
      <alignment horizontal="right" vertical="center" indent="1"/>
      <protection locked="0"/>
    </xf>
    <xf numFmtId="0" fontId="0" fillId="0" borderId="15" xfId="0" applyBorder="1" applyAlignment="1" applyProtection="1">
      <alignment horizontal="right" vertical="center" indent="1"/>
      <protection locked="0"/>
    </xf>
    <xf numFmtId="0" fontId="0" fillId="0" borderId="16" xfId="0" applyBorder="1" applyAlignment="1" applyProtection="1">
      <alignment horizontal="right" vertical="center" indent="1"/>
      <protection locked="0"/>
    </xf>
    <xf numFmtId="0" fontId="20" fillId="0" borderId="14" xfId="1" applyFont="1" applyFill="1" applyBorder="1" applyAlignment="1" applyProtection="1">
      <alignment horizontal="left" vertical="center" indent="1"/>
    </xf>
    <xf numFmtId="0" fontId="10" fillId="0" borderId="15" xfId="0" applyFont="1" applyBorder="1" applyAlignment="1">
      <alignment horizontal="left" vertical="center" indent="1"/>
    </xf>
    <xf numFmtId="0" fontId="20" fillId="0" borderId="15" xfId="1" applyFont="1" applyFill="1" applyBorder="1" applyAlignment="1" applyProtection="1">
      <alignment horizontal="left" vertical="center" indent="1"/>
      <protection locked="0"/>
    </xf>
    <xf numFmtId="0" fontId="10" fillId="0" borderId="15" xfId="0" applyFont="1" applyBorder="1" applyAlignment="1" applyProtection="1">
      <alignment horizontal="left" vertical="center" indent="1"/>
      <protection locked="0"/>
    </xf>
    <xf numFmtId="0" fontId="10" fillId="0" borderId="16" xfId="0" applyFont="1" applyBorder="1" applyAlignment="1" applyProtection="1">
      <alignment horizontal="left" vertical="center" indent="1"/>
      <protection locked="0"/>
    </xf>
    <xf numFmtId="0" fontId="27" fillId="0" borderId="0" xfId="0" applyFont="1" applyBorder="1" applyAlignment="1">
      <alignment vertical="center" wrapText="1"/>
    </xf>
    <xf numFmtId="0" fontId="27" fillId="0" borderId="0" xfId="0" applyFont="1" applyBorder="1" applyAlignment="1">
      <alignment vertical="center"/>
    </xf>
    <xf numFmtId="0" fontId="0" fillId="0" borderId="0" xfId="0" applyAlignment="1">
      <alignment vertical="center"/>
    </xf>
    <xf numFmtId="0" fontId="27" fillId="0" borderId="0" xfId="0" applyFont="1" applyBorder="1" applyAlignment="1">
      <alignment horizontal="left" vertical="center"/>
    </xf>
    <xf numFmtId="0" fontId="30" fillId="0" borderId="0" xfId="0" applyFont="1" applyAlignment="1">
      <alignment vertical="center"/>
    </xf>
    <xf numFmtId="0" fontId="45" fillId="0" borderId="9" xfId="1" applyFont="1" applyFill="1" applyBorder="1" applyAlignment="1" applyProtection="1">
      <alignment horizontal="left" vertical="top" wrapText="1" indent="1"/>
    </xf>
    <xf numFmtId="0" fontId="44" fillId="0" borderId="0" xfId="0" applyFont="1" applyBorder="1" applyAlignment="1">
      <alignment horizontal="left" vertical="top" wrapText="1" indent="1"/>
    </xf>
    <xf numFmtId="0" fontId="44" fillId="0" borderId="10" xfId="0" applyFont="1" applyBorder="1" applyAlignment="1">
      <alignment horizontal="left" vertical="top" wrapText="1" indent="1"/>
    </xf>
    <xf numFmtId="0" fontId="44" fillId="0" borderId="9" xfId="0" applyFont="1" applyBorder="1" applyAlignment="1">
      <alignment horizontal="left" vertical="top" wrapText="1" indent="1"/>
    </xf>
    <xf numFmtId="0" fontId="44" fillId="0" borderId="11" xfId="0" applyFont="1" applyBorder="1" applyAlignment="1">
      <alignment horizontal="left" vertical="top" wrapText="1" indent="1"/>
    </xf>
    <xf numFmtId="0" fontId="44" fillId="0" borderId="12" xfId="0" applyFont="1" applyBorder="1" applyAlignment="1">
      <alignment horizontal="left" vertical="top" wrapText="1" indent="1"/>
    </xf>
    <xf numFmtId="0" fontId="44" fillId="0" borderId="13" xfId="0" applyFont="1" applyBorder="1" applyAlignment="1">
      <alignment horizontal="left" vertical="top" wrapText="1" indent="1"/>
    </xf>
    <xf numFmtId="0" fontId="25" fillId="0" borderId="0" xfId="2" applyFont="1" applyAlignment="1" applyProtection="1">
      <alignment horizontal="center" vertical="center"/>
    </xf>
    <xf numFmtId="0" fontId="25" fillId="0" borderId="0" xfId="0" applyFont="1" applyAlignment="1">
      <alignment horizontal="center" vertical="center"/>
    </xf>
    <xf numFmtId="0" fontId="36" fillId="0" borderId="5" xfId="2" quotePrefix="1" applyFont="1" applyFill="1" applyBorder="1" applyAlignment="1" applyProtection="1">
      <alignment horizontal="center" vertical="center" wrapText="1"/>
    </xf>
    <xf numFmtId="0" fontId="36" fillId="0" borderId="6" xfId="2" applyFont="1" applyBorder="1" applyAlignment="1" applyProtection="1">
      <alignment horizontal="center" vertical="center" wrapText="1"/>
    </xf>
    <xf numFmtId="0" fontId="36" fillId="0" borderId="7" xfId="2" applyFont="1" applyBorder="1" applyAlignment="1" applyProtection="1">
      <alignment horizontal="center" vertical="center" wrapText="1"/>
    </xf>
    <xf numFmtId="0" fontId="36" fillId="0" borderId="9" xfId="2" applyFont="1" applyBorder="1" applyAlignment="1" applyProtection="1">
      <alignment wrapText="1"/>
    </xf>
    <xf numFmtId="0" fontId="36" fillId="0" borderId="0" xfId="2" applyFont="1" applyBorder="1" applyAlignment="1" applyProtection="1">
      <alignment wrapText="1"/>
    </xf>
    <xf numFmtId="0" fontId="36" fillId="0" borderId="10" xfId="2" applyFont="1" applyBorder="1" applyAlignment="1" applyProtection="1">
      <alignment wrapText="1"/>
    </xf>
    <xf numFmtId="0" fontId="36" fillId="0" borderId="11" xfId="2" applyFont="1" applyBorder="1" applyAlignment="1" applyProtection="1">
      <alignment wrapText="1"/>
    </xf>
    <xf numFmtId="0" fontId="36" fillId="0" borderId="12" xfId="2" applyFont="1" applyBorder="1" applyAlignment="1" applyProtection="1">
      <alignment wrapText="1"/>
    </xf>
    <xf numFmtId="0" fontId="36" fillId="0" borderId="13" xfId="2" applyFont="1" applyBorder="1" applyAlignment="1" applyProtection="1">
      <alignment wrapText="1"/>
    </xf>
    <xf numFmtId="0" fontId="10" fillId="0" borderId="9" xfId="1" applyFont="1" applyFill="1" applyBorder="1" applyAlignment="1" applyProtection="1">
      <alignment horizontal="left" vertical="top" wrapText="1" indent="1"/>
    </xf>
    <xf numFmtId="0" fontId="0" fillId="0" borderId="9" xfId="0" applyBorder="1" applyAlignment="1">
      <alignment horizontal="left" vertical="top" wrapText="1" indent="1"/>
    </xf>
    <xf numFmtId="0" fontId="0" fillId="0" borderId="11" xfId="0" applyBorder="1" applyAlignment="1">
      <alignment horizontal="left" vertical="top" wrapText="1" indent="1"/>
    </xf>
    <xf numFmtId="0" fontId="0" fillId="0" borderId="12" xfId="0" applyBorder="1" applyAlignment="1">
      <alignment horizontal="left" vertical="top" wrapText="1" indent="1"/>
    </xf>
    <xf numFmtId="0" fontId="0" fillId="0" borderId="13" xfId="0" applyBorder="1" applyAlignment="1">
      <alignment horizontal="left" vertical="top" wrapText="1" indent="1"/>
    </xf>
    <xf numFmtId="0" fontId="10" fillId="0" borderId="0" xfId="0" applyFont="1" applyFill="1" applyBorder="1" applyAlignment="1">
      <alignment vertical="center" wrapText="1"/>
    </xf>
    <xf numFmtId="164" fontId="28" fillId="0" borderId="0" xfId="2" applyNumberFormat="1" applyFont="1" applyFill="1" applyBorder="1" applyAlignment="1" applyProtection="1">
      <alignment horizontal="left" vertical="center" wrapText="1" indent="1"/>
    </xf>
    <xf numFmtId="0" fontId="0" fillId="0" borderId="0" xfId="0" applyBorder="1" applyAlignment="1">
      <alignment horizontal="left" vertical="center" wrapText="1" indent="1"/>
    </xf>
    <xf numFmtId="0" fontId="25" fillId="0" borderId="9" xfId="0" applyFont="1" applyFill="1" applyBorder="1" applyAlignment="1">
      <alignment horizontal="left" vertical="top" wrapText="1" indent="1"/>
    </xf>
    <xf numFmtId="0" fontId="35" fillId="0" borderId="0" xfId="0" applyFont="1" applyAlignment="1">
      <alignment horizontal="left" vertical="top" wrapText="1" indent="1"/>
    </xf>
    <xf numFmtId="0" fontId="35" fillId="0" borderId="9" xfId="0" applyFont="1" applyBorder="1" applyAlignment="1">
      <alignment horizontal="left" vertical="top" wrapText="1" indent="1"/>
    </xf>
    <xf numFmtId="0" fontId="27" fillId="0" borderId="0" xfId="0" applyFont="1" applyBorder="1" applyAlignment="1">
      <alignment horizontal="left" vertical="center" wrapText="1"/>
    </xf>
    <xf numFmtId="0" fontId="13" fillId="0" borderId="0" xfId="0" applyFont="1" applyBorder="1" applyAlignment="1">
      <alignment horizontal="left" vertical="center" wrapText="1"/>
    </xf>
    <xf numFmtId="0" fontId="23" fillId="0" borderId="5" xfId="0" quotePrefix="1" applyFont="1" applyFill="1" applyBorder="1" applyAlignment="1">
      <alignment horizontal="center" vertical="center" wrapText="1"/>
    </xf>
    <xf numFmtId="0" fontId="32" fillId="0" borderId="6" xfId="0" applyFont="1" applyBorder="1" applyAlignment="1">
      <alignment horizontal="center" vertical="center" wrapText="1"/>
    </xf>
    <xf numFmtId="0" fontId="32" fillId="0" borderId="7" xfId="0" applyFont="1" applyBorder="1" applyAlignment="1">
      <alignment horizontal="center" vertical="center" wrapText="1"/>
    </xf>
    <xf numFmtId="0" fontId="32" fillId="0" borderId="9" xfId="0" applyFont="1" applyBorder="1" applyAlignment="1">
      <alignment wrapText="1"/>
    </xf>
    <xf numFmtId="0" fontId="32" fillId="0" borderId="0" xfId="0" applyFont="1" applyBorder="1" applyAlignment="1">
      <alignment wrapText="1"/>
    </xf>
    <xf numFmtId="0" fontId="32" fillId="0" borderId="10" xfId="0" applyFont="1" applyBorder="1" applyAlignment="1">
      <alignment wrapText="1"/>
    </xf>
    <xf numFmtId="0" fontId="32" fillId="0" borderId="11" xfId="0" applyFont="1" applyBorder="1" applyAlignment="1">
      <alignment wrapText="1"/>
    </xf>
    <xf numFmtId="0" fontId="32" fillId="0" borderId="12" xfId="0" applyFont="1" applyBorder="1" applyAlignment="1">
      <alignment wrapText="1"/>
    </xf>
    <xf numFmtId="0" fontId="32" fillId="0" borderId="13" xfId="0" applyFont="1" applyBorder="1" applyAlignment="1">
      <alignment wrapText="1"/>
    </xf>
    <xf numFmtId="0" fontId="23" fillId="4" borderId="0" xfId="0" applyFont="1" applyFill="1" applyBorder="1" applyAlignment="1">
      <alignment horizontal="center" vertical="center"/>
    </xf>
    <xf numFmtId="0" fontId="0" fillId="4" borderId="0" xfId="0" applyFill="1" applyBorder="1" applyAlignment="1">
      <alignment horizontal="center" vertical="center"/>
    </xf>
    <xf numFmtId="0" fontId="18" fillId="4" borderId="0" xfId="0" applyFont="1" applyFill="1" applyBorder="1" applyAlignment="1">
      <alignment horizontal="center" vertical="center"/>
    </xf>
    <xf numFmtId="0" fontId="10" fillId="4" borderId="0" xfId="0" applyFont="1" applyFill="1" applyBorder="1" applyAlignment="1">
      <alignment horizontal="center" vertical="center"/>
    </xf>
    <xf numFmtId="0" fontId="23" fillId="0" borderId="9" xfId="0" quotePrefix="1" applyFont="1" applyFill="1" applyBorder="1" applyAlignment="1">
      <alignment horizontal="left" vertical="center" wrapText="1" indent="1"/>
    </xf>
    <xf numFmtId="0" fontId="32" fillId="0" borderId="0" xfId="0" applyFont="1" applyBorder="1" applyAlignment="1">
      <alignment horizontal="left" vertical="center" wrapText="1" indent="1"/>
    </xf>
    <xf numFmtId="0" fontId="18"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6" fillId="6" borderId="0" xfId="0" applyFont="1" applyFill="1" applyBorder="1" applyAlignment="1">
      <alignment horizontal="center" vertical="center" wrapText="1"/>
    </xf>
    <xf numFmtId="0" fontId="0" fillId="6" borderId="0" xfId="0" applyFill="1" applyBorder="1" applyAlignment="1">
      <alignment horizontal="center" vertical="center" wrapText="1"/>
    </xf>
    <xf numFmtId="0" fontId="6" fillId="6" borderId="0" xfId="0" applyFont="1" applyFill="1" applyBorder="1" applyAlignment="1">
      <alignment horizontal="center" vertical="center"/>
    </xf>
    <xf numFmtId="0" fontId="6" fillId="5" borderId="0" xfId="0" applyFont="1" applyFill="1" applyBorder="1" applyAlignment="1">
      <alignment horizontal="center" vertical="center"/>
    </xf>
    <xf numFmtId="0" fontId="10" fillId="5" borderId="0" xfId="0" applyFont="1" applyFill="1" applyBorder="1" applyAlignment="1">
      <alignment horizontal="center" vertical="center"/>
    </xf>
    <xf numFmtId="0" fontId="23" fillId="6" borderId="0" xfId="0" applyFont="1" applyFill="1" applyBorder="1" applyAlignment="1">
      <alignment horizontal="center" vertical="center"/>
    </xf>
    <xf numFmtId="0" fontId="0" fillId="6" borderId="0" xfId="0" applyFill="1" applyBorder="1" applyAlignment="1">
      <alignment horizontal="center" vertical="center"/>
    </xf>
    <xf numFmtId="0" fontId="18" fillId="5" borderId="0" xfId="0" applyFont="1" applyFill="1" applyBorder="1" applyAlignment="1">
      <alignment horizontal="center" vertical="center"/>
    </xf>
    <xf numFmtId="0" fontId="23" fillId="0" borderId="5" xfId="0" quotePrefix="1" applyFont="1" applyFill="1" applyBorder="1" applyAlignment="1">
      <alignment horizontal="left" vertical="center" indent="1"/>
    </xf>
    <xf numFmtId="0" fontId="0" fillId="0" borderId="6" xfId="0" applyBorder="1" applyAlignment="1">
      <alignment horizontal="left" vertical="center" indent="1"/>
    </xf>
    <xf numFmtId="0" fontId="32" fillId="0" borderId="6" xfId="0" applyFont="1" applyBorder="1" applyAlignment="1">
      <alignment horizontal="left" vertical="top" wrapText="1" indent="1"/>
    </xf>
    <xf numFmtId="0" fontId="0" fillId="0" borderId="6" xfId="0" applyBorder="1" applyAlignment="1">
      <alignment horizontal="left" vertical="top" wrapText="1" indent="1"/>
    </xf>
    <xf numFmtId="0" fontId="0" fillId="0" borderId="7" xfId="0" applyBorder="1" applyAlignment="1">
      <alignment horizontal="left" vertical="top" wrapText="1" indent="1"/>
    </xf>
    <xf numFmtId="0" fontId="0" fillId="0" borderId="0" xfId="0" applyAlignment="1">
      <alignment horizontal="left" vertical="top" wrapText="1" indent="1"/>
    </xf>
    <xf numFmtId="0" fontId="10" fillId="0" borderId="9" xfId="1" applyFont="1" applyFill="1" applyBorder="1" applyAlignment="1" applyProtection="1">
      <alignment horizontal="left" vertical="top" wrapText="1" indent="2"/>
    </xf>
    <xf numFmtId="0" fontId="0" fillId="0" borderId="0" xfId="0" applyBorder="1" applyAlignment="1">
      <alignment horizontal="left" vertical="top" wrapText="1" indent="2"/>
    </xf>
    <xf numFmtId="0" fontId="0" fillId="0" borderId="9" xfId="0" applyBorder="1" applyAlignment="1">
      <alignment horizontal="left" vertical="top" wrapText="1" indent="2"/>
    </xf>
    <xf numFmtId="0" fontId="0" fillId="0" borderId="11" xfId="0" applyBorder="1" applyAlignment="1">
      <alignment horizontal="left" vertical="top" wrapText="1" indent="2"/>
    </xf>
    <xf numFmtId="0" fontId="0" fillId="0" borderId="12" xfId="0" applyBorder="1" applyAlignment="1">
      <alignment horizontal="left" vertical="top" wrapText="1" indent="2"/>
    </xf>
    <xf numFmtId="0" fontId="6" fillId="4" borderId="0" xfId="0" applyFont="1" applyFill="1" applyBorder="1" applyAlignment="1">
      <alignment horizontal="center" vertical="center"/>
    </xf>
    <xf numFmtId="0" fontId="23" fillId="5" borderId="0" xfId="0" applyFont="1" applyFill="1" applyBorder="1" applyAlignment="1">
      <alignment horizontal="center" vertical="center"/>
    </xf>
    <xf numFmtId="0" fontId="0" fillId="5" borderId="0" xfId="0" applyFill="1" applyBorder="1" applyAlignment="1">
      <alignment horizontal="center" vertical="center"/>
    </xf>
    <xf numFmtId="0" fontId="26" fillId="0" borderId="0" xfId="0" applyFont="1" applyFill="1" applyBorder="1" applyAlignment="1">
      <alignment horizontal="center" vertical="center"/>
    </xf>
    <xf numFmtId="0" fontId="0" fillId="0" borderId="0" xfId="0" applyAlignment="1">
      <alignment horizontal="center" vertical="center"/>
    </xf>
    <xf numFmtId="164" fontId="28" fillId="0" borderId="0" xfId="2" applyNumberFormat="1" applyFont="1" applyFill="1" applyBorder="1" applyAlignment="1" applyProtection="1">
      <alignment horizontal="center" vertical="top" wrapText="1"/>
    </xf>
    <xf numFmtId="0" fontId="29" fillId="0" borderId="0" xfId="0" applyFont="1" applyAlignment="1">
      <alignment horizontal="center" vertical="top" wrapText="1"/>
    </xf>
    <xf numFmtId="0" fontId="29" fillId="0" borderId="12" xfId="0" applyFont="1" applyBorder="1" applyAlignment="1">
      <alignment horizontal="center" vertical="top" wrapText="1"/>
    </xf>
    <xf numFmtId="0" fontId="10" fillId="0" borderId="0" xfId="1" applyFont="1" applyFill="1" applyBorder="1" applyAlignment="1" applyProtection="1">
      <alignment horizontal="left" vertical="top" wrapText="1"/>
    </xf>
    <xf numFmtId="0" fontId="0" fillId="0" borderId="0" xfId="0" applyAlignment="1">
      <alignment horizontal="left" vertical="top" wrapText="1"/>
    </xf>
    <xf numFmtId="0" fontId="10" fillId="0" borderId="0" xfId="0" applyFont="1" applyAlignment="1">
      <alignment vertical="top" wrapText="1"/>
    </xf>
    <xf numFmtId="0" fontId="19" fillId="0" borderId="5" xfId="0" quotePrefix="1" applyFont="1" applyFill="1" applyBorder="1" applyAlignment="1">
      <alignment horizontal="center" vertical="top" wrapText="1"/>
    </xf>
    <xf numFmtId="0" fontId="0" fillId="0" borderId="6" xfId="0" applyBorder="1" applyAlignment="1">
      <alignment horizontal="center" vertical="top" wrapText="1"/>
    </xf>
    <xf numFmtId="0" fontId="0" fillId="0" borderId="7" xfId="0" applyBorder="1" applyAlignment="1">
      <alignment horizontal="center" vertical="top" wrapText="1"/>
    </xf>
    <xf numFmtId="0" fontId="0" fillId="0" borderId="9" xfId="0" applyBorder="1" applyAlignment="1">
      <alignment horizontal="center" vertical="top" wrapText="1"/>
    </xf>
    <xf numFmtId="0" fontId="0" fillId="0" borderId="0" xfId="0" applyBorder="1" applyAlignment="1">
      <alignment horizontal="center" vertical="top" wrapText="1"/>
    </xf>
    <xf numFmtId="0" fontId="0" fillId="0" borderId="10" xfId="0" applyBorder="1" applyAlignment="1">
      <alignment horizontal="center" vertical="top" wrapText="1"/>
    </xf>
    <xf numFmtId="0" fontId="3" fillId="0" borderId="0" xfId="0" applyFont="1" applyBorder="1" applyAlignment="1">
      <alignment horizontal="left" vertical="top" wrapText="1" indent="1"/>
    </xf>
    <xf numFmtId="0" fontId="3" fillId="0" borderId="10" xfId="0" applyFont="1" applyBorder="1" applyAlignment="1">
      <alignment horizontal="left" vertical="top" wrapText="1" indent="1"/>
    </xf>
    <xf numFmtId="0" fontId="3" fillId="0" borderId="9" xfId="0" applyFont="1" applyBorder="1" applyAlignment="1">
      <alignment horizontal="left" vertical="top" wrapText="1" indent="1"/>
    </xf>
    <xf numFmtId="16" fontId="10" fillId="0" borderId="0" xfId="0" applyNumberFormat="1" applyFont="1" applyFill="1" applyBorder="1" applyAlignment="1">
      <alignment horizontal="left" vertical="top" wrapText="1"/>
    </xf>
    <xf numFmtId="0" fontId="10" fillId="0" borderId="0" xfId="0" applyFont="1" applyAlignment="1">
      <alignment horizontal="left" vertical="top" wrapText="1"/>
    </xf>
    <xf numFmtId="0" fontId="10" fillId="0" borderId="0" xfId="0" applyFont="1" applyFill="1" applyBorder="1" applyAlignment="1">
      <alignment horizontal="left" vertical="center" wrapText="1"/>
    </xf>
    <xf numFmtId="0" fontId="0" fillId="0" borderId="0" xfId="0" applyAlignment="1">
      <alignment horizontal="left" vertical="center" wrapText="1"/>
    </xf>
    <xf numFmtId="0" fontId="0" fillId="0" borderId="12" xfId="0" applyBorder="1" applyAlignment="1">
      <alignment horizontal="left" vertical="center" wrapText="1"/>
    </xf>
  </cellXfs>
  <cellStyles count="6">
    <cellStyle name="Hyperlink" xfId="2" builtinId="8"/>
    <cellStyle name="Normal" xfId="0" builtinId="0"/>
    <cellStyle name="Normal 2" xfId="3" xr:uid="{00000000-0005-0000-0000-000002000000}"/>
    <cellStyle name="Normal 2 2" xfId="4" xr:uid="{00000000-0005-0000-0000-000003000000}"/>
    <cellStyle name="Normal_=Forms - Standard Work" xfId="1" xr:uid="{00000000-0005-0000-0000-000004000000}"/>
    <cellStyle name="Normal-Big" xfId="5" xr:uid="{00000000-0005-0000-0000-000005000000}"/>
  </cellStyles>
  <dxfs count="66">
    <dxf>
      <fill>
        <patternFill>
          <bgColor indexed="41"/>
        </patternFill>
      </fill>
    </dxf>
    <dxf>
      <fill>
        <patternFill>
          <bgColor indexed="41"/>
        </patternFill>
      </fill>
    </dxf>
    <dxf>
      <fill>
        <patternFill>
          <bgColor indexed="41"/>
        </patternFill>
      </fill>
    </dxf>
    <dxf>
      <font>
        <color theme="0"/>
      </font>
      <fill>
        <patternFill>
          <bgColor rgb="FF0000FF"/>
        </patternFill>
      </fill>
    </dxf>
    <dxf>
      <fill>
        <patternFill>
          <bgColor theme="5" tint="0.79998168889431442"/>
        </patternFill>
      </fill>
    </dxf>
    <dxf>
      <fill>
        <patternFill>
          <bgColor theme="2" tint="-0.24994659260841701"/>
        </patternFill>
      </fill>
    </dxf>
    <dxf>
      <fill>
        <patternFill>
          <bgColor theme="7" tint="0.59996337778862885"/>
        </patternFill>
      </fill>
    </dxf>
    <dxf>
      <font>
        <color theme="0"/>
      </font>
      <fill>
        <patternFill>
          <bgColor theme="0" tint="-0.499984740745262"/>
        </patternFill>
      </fill>
    </dxf>
    <dxf>
      <font>
        <color auto="1"/>
      </font>
      <fill>
        <patternFill>
          <bgColor rgb="FFFFFF00"/>
        </patternFill>
      </fill>
    </dxf>
    <dxf>
      <font>
        <color theme="0"/>
      </font>
      <fill>
        <patternFill>
          <bgColor rgb="FFFF0000"/>
        </patternFill>
      </fill>
    </dxf>
    <dxf>
      <font>
        <color theme="0"/>
      </font>
      <fill>
        <patternFill>
          <bgColor rgb="FF800080"/>
        </patternFill>
      </fill>
    </dxf>
    <dxf>
      <fill>
        <patternFill>
          <bgColor indexed="41"/>
        </patternFill>
      </fill>
    </dxf>
    <dxf>
      <fill>
        <patternFill>
          <bgColor indexed="41"/>
        </patternFill>
      </fill>
    </dxf>
    <dxf>
      <fill>
        <patternFill>
          <bgColor indexed="41"/>
        </patternFill>
      </fill>
    </dxf>
    <dxf>
      <fill>
        <patternFill>
          <bgColor indexed="41"/>
        </patternFill>
      </fill>
    </dxf>
    <dxf>
      <font>
        <color theme="0"/>
      </font>
      <fill>
        <patternFill>
          <bgColor rgb="FF0000FF"/>
        </patternFill>
      </fill>
    </dxf>
    <dxf>
      <fill>
        <patternFill>
          <bgColor theme="5" tint="0.79998168889431442"/>
        </patternFill>
      </fill>
    </dxf>
    <dxf>
      <fill>
        <patternFill>
          <bgColor theme="2" tint="-0.24994659260841701"/>
        </patternFill>
      </fill>
    </dxf>
    <dxf>
      <fill>
        <patternFill>
          <bgColor theme="7" tint="0.59996337778862885"/>
        </patternFill>
      </fill>
    </dxf>
    <dxf>
      <font>
        <color theme="0"/>
      </font>
      <fill>
        <patternFill>
          <bgColor theme="0" tint="-0.499984740745262"/>
        </patternFill>
      </fill>
    </dxf>
    <dxf>
      <font>
        <color auto="1"/>
      </font>
      <fill>
        <patternFill>
          <bgColor rgb="FFFFFF00"/>
        </patternFill>
      </fill>
    </dxf>
    <dxf>
      <font>
        <color theme="0"/>
      </font>
      <fill>
        <patternFill>
          <bgColor rgb="FFFF0000"/>
        </patternFill>
      </fill>
    </dxf>
    <dxf>
      <font>
        <color theme="0"/>
      </font>
      <fill>
        <patternFill>
          <bgColor rgb="FF800080"/>
        </patternFill>
      </fill>
    </dxf>
    <dxf>
      <fill>
        <patternFill>
          <bgColor indexed="41"/>
        </patternFill>
      </fill>
    </dxf>
    <dxf>
      <fill>
        <patternFill>
          <bgColor indexed="41"/>
        </patternFill>
      </fill>
    </dxf>
    <dxf>
      <fill>
        <patternFill>
          <bgColor indexed="41"/>
        </patternFill>
      </fill>
    </dxf>
    <dxf>
      <fill>
        <patternFill>
          <bgColor indexed="41"/>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theme="9" tint="-0.24994659260841701"/>
      </font>
      <fill>
        <patternFill>
          <bgColor theme="9" tint="0.59996337778862885"/>
        </patternFill>
      </fill>
      <border>
        <left style="thin">
          <color theme="9" tint="-0.24994659260841701"/>
        </left>
        <right style="thin">
          <color theme="9" tint="-0.24994659260841701"/>
        </right>
        <top style="thin">
          <color theme="9" tint="-0.24994659260841701"/>
        </top>
        <bottom style="thin">
          <color theme="9" tint="-0.24994659260841701"/>
        </bottom>
        <vertical/>
        <horizontal/>
      </border>
    </dxf>
    <dxf>
      <font>
        <b/>
        <i val="0"/>
        <color theme="6" tint="-0.499984740745262"/>
      </font>
      <fill>
        <patternFill>
          <bgColor theme="6" tint="0.59996337778862885"/>
        </patternFill>
      </fill>
      <border>
        <left style="thin">
          <color theme="6" tint="-0.499984740745262"/>
        </left>
        <right style="thin">
          <color theme="6" tint="-0.499984740745262"/>
        </right>
        <top style="thin">
          <color theme="6" tint="-0.499984740745262"/>
        </top>
        <bottom style="thin">
          <color theme="6" tint="-0.499984740745262"/>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theme="9" tint="-0.24994659260841701"/>
      </font>
      <fill>
        <patternFill>
          <bgColor theme="9" tint="0.59996337778862885"/>
        </patternFill>
      </fill>
      <border>
        <left style="thin">
          <color theme="9" tint="-0.24994659260841701"/>
        </left>
        <right style="thin">
          <color theme="9" tint="-0.24994659260841701"/>
        </right>
        <top style="thin">
          <color theme="9" tint="-0.24994659260841701"/>
        </top>
        <bottom style="thin">
          <color theme="9" tint="-0.24994659260841701"/>
        </bottom>
        <vertical/>
        <horizontal/>
      </border>
    </dxf>
    <dxf>
      <font>
        <b/>
        <i val="0"/>
        <color theme="6" tint="-0.499984740745262"/>
      </font>
      <fill>
        <patternFill>
          <bgColor theme="6" tint="0.59996337778862885"/>
        </patternFill>
      </fill>
      <border>
        <left style="thin">
          <color theme="6" tint="-0.499984740745262"/>
        </left>
        <right style="thin">
          <color theme="6" tint="-0.499984740745262"/>
        </right>
        <top style="thin">
          <color theme="6" tint="-0.499984740745262"/>
        </top>
        <bottom style="thin">
          <color theme="6" tint="-0.499984740745262"/>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theme="9" tint="-0.24994659260841701"/>
      </font>
      <fill>
        <patternFill>
          <bgColor theme="9" tint="0.59996337778862885"/>
        </patternFill>
      </fill>
      <border>
        <left style="thin">
          <color theme="9" tint="-0.24994659260841701"/>
        </left>
        <right style="thin">
          <color theme="9" tint="-0.24994659260841701"/>
        </right>
        <top style="thin">
          <color theme="9" tint="-0.24994659260841701"/>
        </top>
        <bottom style="thin">
          <color theme="9" tint="-0.24994659260841701"/>
        </bottom>
        <vertical/>
        <horizontal/>
      </border>
    </dxf>
    <dxf>
      <font>
        <b/>
        <i val="0"/>
        <color theme="6" tint="-0.499984740745262"/>
      </font>
      <fill>
        <patternFill>
          <bgColor theme="6" tint="0.59996337778862885"/>
        </patternFill>
      </fill>
      <border>
        <left style="thin">
          <color theme="6" tint="-0.499984740745262"/>
        </left>
        <right style="thin">
          <color theme="6" tint="-0.499984740745262"/>
        </right>
        <top style="thin">
          <color theme="6" tint="-0.499984740745262"/>
        </top>
        <bottom style="thin">
          <color theme="6" tint="-0.499984740745262"/>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theme="9" tint="-0.24994659260841701"/>
      </font>
      <fill>
        <patternFill>
          <bgColor theme="9" tint="0.59996337778862885"/>
        </patternFill>
      </fill>
      <border>
        <left style="thin">
          <color theme="9" tint="-0.24994659260841701"/>
        </left>
        <right style="thin">
          <color theme="9" tint="-0.24994659260841701"/>
        </right>
        <top style="thin">
          <color theme="9" tint="-0.24994659260841701"/>
        </top>
        <bottom style="thin">
          <color theme="9" tint="-0.24994659260841701"/>
        </bottom>
        <vertical/>
        <horizontal/>
      </border>
    </dxf>
    <dxf>
      <font>
        <b/>
        <i val="0"/>
        <color theme="6" tint="-0.499984740745262"/>
      </font>
      <fill>
        <patternFill>
          <bgColor theme="6" tint="0.59996337778862885"/>
        </patternFill>
      </fill>
      <border>
        <left style="thin">
          <color theme="6" tint="-0.499984740745262"/>
        </left>
        <right style="thin">
          <color theme="6" tint="-0.499984740745262"/>
        </right>
        <top style="thin">
          <color theme="6" tint="-0.499984740745262"/>
        </top>
        <bottom style="thin">
          <color theme="6" tint="-0.499984740745262"/>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theme="9" tint="-0.24994659260841701"/>
      </font>
      <fill>
        <patternFill>
          <bgColor theme="9" tint="0.59996337778862885"/>
        </patternFill>
      </fill>
      <border>
        <left style="thin">
          <color theme="9" tint="-0.24994659260841701"/>
        </left>
        <right style="thin">
          <color theme="9" tint="-0.24994659260841701"/>
        </right>
        <top style="thin">
          <color theme="9" tint="-0.24994659260841701"/>
        </top>
        <bottom style="thin">
          <color theme="9" tint="-0.24994659260841701"/>
        </bottom>
        <vertical/>
        <horizontal/>
      </border>
    </dxf>
    <dxf>
      <font>
        <b/>
        <i val="0"/>
        <color theme="6" tint="-0.499984740745262"/>
      </font>
      <fill>
        <patternFill>
          <bgColor theme="6" tint="0.59996337778862885"/>
        </patternFill>
      </fill>
      <border>
        <left style="thin">
          <color theme="6" tint="-0.499984740745262"/>
        </left>
        <right style="thin">
          <color theme="6" tint="-0.499984740745262"/>
        </right>
        <top style="thin">
          <color theme="6" tint="-0.499984740745262"/>
        </top>
        <bottom style="thin">
          <color theme="6" tint="-0.499984740745262"/>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theme="9" tint="-0.24994659260841701"/>
      </font>
      <fill>
        <patternFill>
          <bgColor theme="9" tint="0.59996337778862885"/>
        </patternFill>
      </fill>
      <border>
        <left style="thin">
          <color theme="9" tint="-0.24994659260841701"/>
        </left>
        <right style="thin">
          <color theme="9" tint="-0.24994659260841701"/>
        </right>
        <top style="thin">
          <color theme="9" tint="-0.24994659260841701"/>
        </top>
        <bottom style="thin">
          <color theme="9" tint="-0.24994659260841701"/>
        </bottom>
        <vertical/>
        <horizontal/>
      </border>
    </dxf>
    <dxf>
      <font>
        <b/>
        <i val="0"/>
        <color theme="6" tint="-0.499984740745262"/>
      </font>
      <fill>
        <patternFill>
          <bgColor theme="6" tint="0.59996337778862885"/>
        </patternFill>
      </fill>
      <border>
        <left style="thin">
          <color theme="6" tint="-0.499984740745262"/>
        </left>
        <right style="thin">
          <color theme="6" tint="-0.499984740745262"/>
        </right>
        <top style="thin">
          <color theme="6" tint="-0.499984740745262"/>
        </top>
        <bottom style="thin">
          <color theme="6" tint="-0.499984740745262"/>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theme="9" tint="-0.24994659260841701"/>
      </font>
      <fill>
        <patternFill>
          <bgColor theme="9" tint="0.59996337778862885"/>
        </patternFill>
      </fill>
      <border>
        <left style="thin">
          <color theme="9" tint="-0.24994659260841701"/>
        </left>
        <right style="thin">
          <color theme="9" tint="-0.24994659260841701"/>
        </right>
        <top style="thin">
          <color theme="9" tint="-0.24994659260841701"/>
        </top>
        <bottom style="thin">
          <color theme="9" tint="-0.24994659260841701"/>
        </bottom>
        <vertical/>
        <horizontal/>
      </border>
    </dxf>
    <dxf>
      <font>
        <b/>
        <i val="0"/>
        <color theme="6" tint="-0.499984740745262"/>
      </font>
      <fill>
        <patternFill>
          <bgColor theme="6" tint="0.59996337778862885"/>
        </patternFill>
      </fill>
      <border>
        <left style="thin">
          <color theme="6" tint="-0.499984740745262"/>
        </left>
        <right style="thin">
          <color theme="6" tint="-0.499984740745262"/>
        </right>
        <top style="thin">
          <color theme="6" tint="-0.499984740745262"/>
        </top>
        <bottom style="thin">
          <color theme="6" tint="-0.499984740745262"/>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theme="9" tint="-0.24994659260841701"/>
      </font>
      <fill>
        <patternFill>
          <bgColor theme="9" tint="0.59996337778862885"/>
        </patternFill>
      </fill>
      <border>
        <left style="thin">
          <color theme="9" tint="-0.24994659260841701"/>
        </left>
        <right style="thin">
          <color theme="9" tint="-0.24994659260841701"/>
        </right>
        <top style="thin">
          <color theme="9" tint="-0.24994659260841701"/>
        </top>
        <bottom style="thin">
          <color theme="9" tint="-0.24994659260841701"/>
        </bottom>
        <vertical/>
        <horizontal/>
      </border>
    </dxf>
    <dxf>
      <font>
        <b/>
        <i val="0"/>
        <color theme="6" tint="-0.499984740745262"/>
      </font>
      <fill>
        <patternFill>
          <bgColor theme="6" tint="0.59996337778862885"/>
        </patternFill>
      </fill>
      <border>
        <left style="thin">
          <color theme="6" tint="-0.499984740745262"/>
        </left>
        <right style="thin">
          <color theme="6" tint="-0.499984740745262"/>
        </right>
        <top style="thin">
          <color theme="6" tint="-0.499984740745262"/>
        </top>
        <bottom style="thin">
          <color theme="6" tint="-0.499984740745262"/>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theme="9" tint="-0.24994659260841701"/>
      </font>
      <fill>
        <patternFill>
          <bgColor theme="9" tint="0.59996337778862885"/>
        </patternFill>
      </fill>
      <border>
        <left style="thin">
          <color theme="9" tint="-0.24994659260841701"/>
        </left>
        <right style="thin">
          <color theme="9" tint="-0.24994659260841701"/>
        </right>
        <top style="thin">
          <color theme="9" tint="-0.24994659260841701"/>
        </top>
        <bottom style="thin">
          <color theme="9" tint="-0.24994659260841701"/>
        </bottom>
        <vertical/>
        <horizontal/>
      </border>
    </dxf>
    <dxf>
      <font>
        <b/>
        <i val="0"/>
        <color theme="6" tint="-0.499984740745262"/>
      </font>
      <fill>
        <patternFill>
          <bgColor theme="6" tint="0.59996337778862885"/>
        </patternFill>
      </fill>
      <border>
        <left style="thin">
          <color theme="6" tint="-0.499984740745262"/>
        </left>
        <right style="thin">
          <color theme="6" tint="-0.499984740745262"/>
        </right>
        <top style="thin">
          <color theme="6" tint="-0.499984740745262"/>
        </top>
        <bottom style="thin">
          <color theme="6" tint="-0.499984740745262"/>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theme="9" tint="-0.24994659260841701"/>
      </font>
      <fill>
        <patternFill>
          <bgColor theme="9" tint="0.59996337778862885"/>
        </patternFill>
      </fill>
      <border>
        <left style="thin">
          <color theme="9" tint="-0.24994659260841701"/>
        </left>
        <right style="thin">
          <color theme="9" tint="-0.24994659260841701"/>
        </right>
        <top style="thin">
          <color theme="9" tint="-0.24994659260841701"/>
        </top>
        <bottom style="thin">
          <color theme="9" tint="-0.24994659260841701"/>
        </bottom>
        <vertical/>
        <horizontal/>
      </border>
    </dxf>
    <dxf>
      <font>
        <b/>
        <i val="0"/>
        <color theme="6" tint="-0.499984740745262"/>
      </font>
      <fill>
        <patternFill>
          <bgColor theme="6" tint="0.59996337778862885"/>
        </patternFill>
      </fill>
      <border>
        <left style="thin">
          <color theme="6" tint="-0.499984740745262"/>
        </left>
        <right style="thin">
          <color theme="6" tint="-0.499984740745262"/>
        </right>
        <top style="thin">
          <color theme="6" tint="-0.499984740745262"/>
        </top>
        <bottom style="thin">
          <color theme="6" tint="-0.499984740745262"/>
        </bottom>
        <vertical/>
        <horizontal/>
      </border>
    </dxf>
    <dxf>
      <font>
        <color theme="0"/>
      </font>
      <fill>
        <patternFill>
          <bgColor rgb="FF0000FF"/>
        </patternFill>
      </fill>
    </dxf>
    <dxf>
      <fill>
        <patternFill>
          <bgColor theme="5" tint="0.79998168889431442"/>
        </patternFill>
      </fill>
    </dxf>
    <dxf>
      <fill>
        <patternFill>
          <bgColor theme="2" tint="-0.24994659260841701"/>
        </patternFill>
      </fill>
    </dxf>
    <dxf>
      <fill>
        <patternFill>
          <bgColor theme="7" tint="0.59996337778862885"/>
        </patternFill>
      </fill>
    </dxf>
    <dxf>
      <font>
        <color theme="0"/>
      </font>
      <fill>
        <patternFill>
          <bgColor theme="0" tint="-0.499984740745262"/>
        </patternFill>
      </fill>
    </dxf>
    <dxf>
      <font>
        <color auto="1"/>
      </font>
      <fill>
        <patternFill>
          <bgColor rgb="FFFFFF00"/>
        </patternFill>
      </fill>
    </dxf>
    <dxf>
      <font>
        <color theme="0"/>
      </font>
      <fill>
        <patternFill>
          <bgColor rgb="FFFF0000"/>
        </patternFill>
      </fill>
    </dxf>
    <dxf>
      <font>
        <color theme="0"/>
      </font>
      <fill>
        <patternFill>
          <bgColor rgb="FF800080"/>
        </patternFill>
      </fill>
    </dxf>
    <dxf>
      <fill>
        <patternFill>
          <bgColor indexed="4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a:lstStyle/>
          <a:p>
            <a:pPr>
              <a:defRPr/>
            </a:pPr>
            <a:r>
              <a:rPr lang="en-GB" sz="1200" i="1">
                <a:solidFill>
                  <a:srgbClr val="002060"/>
                </a:solidFill>
              </a:rPr>
              <a:t>Balance of Belbin Team Roles</a:t>
            </a:r>
          </a:p>
        </c:rich>
      </c:tx>
      <c:overlay val="0"/>
    </c:title>
    <c:autoTitleDeleted val="0"/>
    <c:plotArea>
      <c:layout/>
      <c:radarChart>
        <c:radarStyle val="marker"/>
        <c:varyColors val="0"/>
        <c:ser>
          <c:idx val="0"/>
          <c:order val="0"/>
          <c:marker>
            <c:symbol val="none"/>
          </c:marker>
          <c:cat>
            <c:strRef>
              <c:f>'Team Roles Profile'!$R$50:$R$57</c:f>
              <c:strCache>
                <c:ptCount val="8"/>
                <c:pt idx="0">
                  <c:v>Shaper</c:v>
                </c:pt>
                <c:pt idx="1">
                  <c:v>Implementer</c:v>
                </c:pt>
                <c:pt idx="2">
                  <c:v>Completer-Finisher</c:v>
                </c:pt>
                <c:pt idx="3">
                  <c:v>Co-ordinator</c:v>
                </c:pt>
                <c:pt idx="4">
                  <c:v>Team Worker</c:v>
                </c:pt>
                <c:pt idx="5">
                  <c:v>Resource Investigator</c:v>
                </c:pt>
                <c:pt idx="6">
                  <c:v>Plant</c:v>
                </c:pt>
                <c:pt idx="7">
                  <c:v>Monitor Evaluator
</c:v>
                </c:pt>
              </c:strCache>
            </c:strRef>
          </c:cat>
          <c:val>
            <c:numRef>
              <c:f>'Team Roles Profile'!$X$50:$X$57</c:f>
              <c:numCache>
                <c:formatCode>General</c:formatCode>
                <c:ptCount val="8"/>
                <c:pt idx="0">
                  <c:v>9</c:v>
                </c:pt>
                <c:pt idx="1">
                  <c:v>8</c:v>
                </c:pt>
                <c:pt idx="2">
                  <c:v>4</c:v>
                </c:pt>
                <c:pt idx="3">
                  <c:v>5</c:v>
                </c:pt>
                <c:pt idx="4">
                  <c:v>12</c:v>
                </c:pt>
                <c:pt idx="5">
                  <c:v>5</c:v>
                </c:pt>
                <c:pt idx="6">
                  <c:v>7</c:v>
                </c:pt>
                <c:pt idx="7">
                  <c:v>20</c:v>
                </c:pt>
              </c:numCache>
            </c:numRef>
          </c:val>
          <c:extLst>
            <c:ext xmlns:c16="http://schemas.microsoft.com/office/drawing/2014/chart" uri="{C3380CC4-5D6E-409C-BE32-E72D297353CC}">
              <c16:uniqueId val="{00000000-474C-4ECF-91B3-A003BCD2F0BE}"/>
            </c:ext>
          </c:extLst>
        </c:ser>
        <c:dLbls>
          <c:showLegendKey val="0"/>
          <c:showVal val="0"/>
          <c:showCatName val="0"/>
          <c:showSerName val="0"/>
          <c:showPercent val="0"/>
          <c:showBubbleSize val="0"/>
        </c:dLbls>
        <c:axId val="131788160"/>
        <c:axId val="131794048"/>
      </c:radarChart>
      <c:catAx>
        <c:axId val="131788160"/>
        <c:scaling>
          <c:orientation val="minMax"/>
        </c:scaling>
        <c:delete val="0"/>
        <c:axPos val="b"/>
        <c:majorGridlines/>
        <c:numFmt formatCode="General" sourceLinked="0"/>
        <c:majorTickMark val="none"/>
        <c:minorTickMark val="none"/>
        <c:tickLblPos val="nextTo"/>
        <c:txPr>
          <a:bodyPr/>
          <a:lstStyle/>
          <a:p>
            <a:pPr>
              <a:defRPr b="1" i="1"/>
            </a:pPr>
            <a:endParaRPr lang="en-US"/>
          </a:p>
        </c:txPr>
        <c:crossAx val="131794048"/>
        <c:crosses val="autoZero"/>
        <c:auto val="1"/>
        <c:lblAlgn val="ctr"/>
        <c:lblOffset val="100"/>
        <c:noMultiLvlLbl val="0"/>
      </c:catAx>
      <c:valAx>
        <c:axId val="131794048"/>
        <c:scaling>
          <c:orientation val="minMax"/>
        </c:scaling>
        <c:delete val="0"/>
        <c:axPos val="l"/>
        <c:majorGridlines/>
        <c:numFmt formatCode="General" sourceLinked="1"/>
        <c:majorTickMark val="none"/>
        <c:minorTickMark val="none"/>
        <c:tickLblPos val="nextTo"/>
        <c:txPr>
          <a:bodyPr/>
          <a:lstStyle/>
          <a:p>
            <a:pPr>
              <a:defRPr b="1">
                <a:solidFill>
                  <a:srgbClr val="002060"/>
                </a:solidFill>
              </a:defRPr>
            </a:pPr>
            <a:endParaRPr lang="en-US"/>
          </a:p>
        </c:txPr>
        <c:crossAx val="131788160"/>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38"/>
    </mc:Choice>
    <mc:Fallback>
      <c:style val="38"/>
    </mc:Fallback>
  </mc:AlternateContent>
  <c:chart>
    <c:title>
      <c:tx>
        <c:rich>
          <a:bodyPr/>
          <a:lstStyle/>
          <a:p>
            <a:pPr>
              <a:defRPr sz="1200" i="1">
                <a:solidFill>
                  <a:srgbClr val="002060"/>
                </a:solidFill>
              </a:defRPr>
            </a:pPr>
            <a:r>
              <a:rPr lang="en-GB" sz="1200" i="1">
                <a:solidFill>
                  <a:srgbClr val="002060"/>
                </a:solidFill>
              </a:rPr>
              <a:t>Belbin Team Roles Preference</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cat>
            <c:strRef>
              <c:f>'Team Roles Profile'!$AA$27:$AA$34</c:f>
              <c:strCache>
                <c:ptCount val="8"/>
                <c:pt idx="0">
                  <c:v>Shaper</c:v>
                </c:pt>
                <c:pt idx="1">
                  <c:v>Implementer</c:v>
                </c:pt>
                <c:pt idx="2">
                  <c:v>Completer-Finisher</c:v>
                </c:pt>
                <c:pt idx="3">
                  <c:v>Co-ordinator</c:v>
                </c:pt>
                <c:pt idx="4">
                  <c:v>Team Worker</c:v>
                </c:pt>
                <c:pt idx="5">
                  <c:v>Resource Investigator</c:v>
                </c:pt>
                <c:pt idx="6">
                  <c:v>Plant</c:v>
                </c:pt>
                <c:pt idx="7">
                  <c:v>Monitor Evaluator
</c:v>
                </c:pt>
              </c:strCache>
            </c:strRef>
          </c:cat>
          <c:val>
            <c:numRef>
              <c:f>'Team Roles Profile'!$AF$27:$AF$34</c:f>
              <c:numCache>
                <c:formatCode>General</c:formatCode>
                <c:ptCount val="8"/>
                <c:pt idx="0">
                  <c:v>9</c:v>
                </c:pt>
                <c:pt idx="1">
                  <c:v>8</c:v>
                </c:pt>
                <c:pt idx="2">
                  <c:v>4</c:v>
                </c:pt>
                <c:pt idx="3">
                  <c:v>5</c:v>
                </c:pt>
                <c:pt idx="4">
                  <c:v>12</c:v>
                </c:pt>
                <c:pt idx="5">
                  <c:v>5</c:v>
                </c:pt>
                <c:pt idx="6">
                  <c:v>7</c:v>
                </c:pt>
                <c:pt idx="7">
                  <c:v>20</c:v>
                </c:pt>
              </c:numCache>
            </c:numRef>
          </c:val>
          <c:extLst>
            <c:ext xmlns:c16="http://schemas.microsoft.com/office/drawing/2014/chart" uri="{C3380CC4-5D6E-409C-BE32-E72D297353CC}">
              <c16:uniqueId val="{00000000-1236-45AA-A3C6-E1BE5974CDCC}"/>
            </c:ext>
          </c:extLst>
        </c:ser>
        <c:dLbls>
          <c:showLegendKey val="0"/>
          <c:showVal val="0"/>
          <c:showCatName val="0"/>
          <c:showSerName val="0"/>
          <c:showPercent val="0"/>
          <c:showBubbleSize val="0"/>
        </c:dLbls>
        <c:gapWidth val="150"/>
        <c:shape val="cylinder"/>
        <c:axId val="131826816"/>
        <c:axId val="131828352"/>
        <c:axId val="0"/>
      </c:bar3DChart>
      <c:catAx>
        <c:axId val="131826816"/>
        <c:scaling>
          <c:orientation val="minMax"/>
        </c:scaling>
        <c:delete val="0"/>
        <c:axPos val="b"/>
        <c:numFmt formatCode="General" sourceLinked="1"/>
        <c:majorTickMark val="none"/>
        <c:minorTickMark val="none"/>
        <c:tickLblPos val="nextTo"/>
        <c:txPr>
          <a:bodyPr/>
          <a:lstStyle/>
          <a:p>
            <a:pPr>
              <a:defRPr b="1" i="1"/>
            </a:pPr>
            <a:endParaRPr lang="en-US"/>
          </a:p>
        </c:txPr>
        <c:crossAx val="131828352"/>
        <c:crosses val="autoZero"/>
        <c:auto val="1"/>
        <c:lblAlgn val="ctr"/>
        <c:lblOffset val="100"/>
        <c:noMultiLvlLbl val="0"/>
      </c:catAx>
      <c:valAx>
        <c:axId val="131828352"/>
        <c:scaling>
          <c:orientation val="minMax"/>
        </c:scaling>
        <c:delete val="1"/>
        <c:axPos val="l"/>
        <c:majorGridlines/>
        <c:numFmt formatCode="General" sourceLinked="1"/>
        <c:majorTickMark val="none"/>
        <c:minorTickMark val="none"/>
        <c:tickLblPos val="nextTo"/>
        <c:crossAx val="131826816"/>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2.jpe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chart" Target="../charts/chart2.xm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chart" Target="../charts/chart1.xml"/><Relationship Id="rId5" Type="http://schemas.openxmlformats.org/officeDocument/2006/relationships/image" Target="../media/image7.png"/><Relationship Id="rId10" Type="http://schemas.openxmlformats.org/officeDocument/2006/relationships/image" Target="../media/image1.jp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5.jpeg"/><Relationship Id="rId7" Type="http://schemas.openxmlformats.org/officeDocument/2006/relationships/image" Target="../media/image2.png"/><Relationship Id="rId2" Type="http://schemas.openxmlformats.org/officeDocument/2006/relationships/image" Target="../media/image14.jpg"/><Relationship Id="rId1" Type="http://schemas.openxmlformats.org/officeDocument/2006/relationships/image" Target="../media/image13.png"/><Relationship Id="rId6" Type="http://schemas.openxmlformats.org/officeDocument/2006/relationships/image" Target="../media/image18.gif"/><Relationship Id="rId5" Type="http://schemas.openxmlformats.org/officeDocument/2006/relationships/image" Target="../media/image17.jpeg"/><Relationship Id="rId4" Type="http://schemas.openxmlformats.org/officeDocument/2006/relationships/image" Target="../media/image16.jpeg"/></Relationships>
</file>

<file path=xl/drawings/drawing1.xml><?xml version="1.0" encoding="utf-8"?>
<xdr:wsDr xmlns:xdr="http://schemas.openxmlformats.org/drawingml/2006/spreadsheetDrawing" xmlns:a="http://schemas.openxmlformats.org/drawingml/2006/main">
  <xdr:twoCellAnchor editAs="oneCell">
    <xdr:from>
      <xdr:col>54</xdr:col>
      <xdr:colOff>0</xdr:colOff>
      <xdr:row>3</xdr:row>
      <xdr:rowOff>0</xdr:rowOff>
    </xdr:from>
    <xdr:to>
      <xdr:col>55</xdr:col>
      <xdr:colOff>190500</xdr:colOff>
      <xdr:row>4</xdr:row>
      <xdr:rowOff>76200</xdr:rowOff>
    </xdr:to>
    <xdr:sp macro="" textlink="">
      <xdr:nvSpPr>
        <xdr:cNvPr id="2" name="AutoShape 28" descr="logo_deands">
          <a:extLst>
            <a:ext uri="{FF2B5EF4-FFF2-40B4-BE49-F238E27FC236}">
              <a16:creationId xmlns:a16="http://schemas.microsoft.com/office/drawing/2014/main" id="{00000000-0008-0000-0000-000002000000}"/>
            </a:ext>
          </a:extLst>
        </xdr:cNvPr>
        <xdr:cNvSpPr>
          <a:spLocks noChangeAspect="1" noChangeArrowheads="1"/>
        </xdr:cNvSpPr>
      </xdr:nvSpPr>
      <xdr:spPr bwMode="auto">
        <a:xfrm>
          <a:off x="13845540" y="571500"/>
          <a:ext cx="304800" cy="304800"/>
        </a:xfrm>
        <a:prstGeom prst="rect">
          <a:avLst/>
        </a:prstGeom>
        <a:noFill/>
        <a:ln w="9525">
          <a:noFill/>
          <a:miter lim="800000"/>
          <a:headEnd/>
          <a:tailEnd/>
        </a:ln>
      </xdr:spPr>
    </xdr:sp>
    <xdr:clientData/>
  </xdr:twoCellAnchor>
  <xdr:twoCellAnchor editAs="oneCell">
    <xdr:from>
      <xdr:col>50</xdr:col>
      <xdr:colOff>83820</xdr:colOff>
      <xdr:row>47</xdr:row>
      <xdr:rowOff>7620</xdr:rowOff>
    </xdr:from>
    <xdr:to>
      <xdr:col>53</xdr:col>
      <xdr:colOff>206580</xdr:colOff>
      <xdr:row>50</xdr:row>
      <xdr:rowOff>221820</xdr:rowOff>
    </xdr:to>
    <xdr:pic>
      <xdr:nvPicPr>
        <xdr:cNvPr id="49" name="Picture 48">
          <a:extLst>
            <a:ext uri="{FF2B5EF4-FFF2-40B4-BE49-F238E27FC236}">
              <a16:creationId xmlns:a16="http://schemas.microsoft.com/office/drawing/2014/main" id="{00000000-0008-0000-0000-00003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893040" y="10408920"/>
          <a:ext cx="900000" cy="900000"/>
        </a:xfrm>
        <a:prstGeom prst="rect">
          <a:avLst/>
        </a:prstGeom>
      </xdr:spPr>
    </xdr:pic>
    <xdr:clientData/>
  </xdr:twoCellAnchor>
  <xdr:twoCellAnchor editAs="oneCell">
    <xdr:from>
      <xdr:col>1</xdr:col>
      <xdr:colOff>0</xdr:colOff>
      <xdr:row>1</xdr:row>
      <xdr:rowOff>0</xdr:rowOff>
    </xdr:from>
    <xdr:to>
      <xdr:col>7</xdr:col>
      <xdr:colOff>47625</xdr:colOff>
      <xdr:row>5</xdr:row>
      <xdr:rowOff>0</xdr:rowOff>
    </xdr:to>
    <xdr:pic>
      <xdr:nvPicPr>
        <xdr:cNvPr id="5" name="Google Shape;22;p4">
          <a:extLst>
            <a:ext uri="{FF2B5EF4-FFF2-40B4-BE49-F238E27FC236}">
              <a16:creationId xmlns:a16="http://schemas.microsoft.com/office/drawing/2014/main" id="{00000000-0008-0000-0000-000005000000}"/>
            </a:ext>
          </a:extLst>
        </xdr:cNvPr>
        <xdr:cNvPicPr preferRelativeResize="0"/>
      </xdr:nvPicPr>
      <xdr:blipFill rotWithShape="1">
        <a:blip xmlns:r="http://schemas.openxmlformats.org/officeDocument/2006/relationships" r:embed="rId2">
          <a:alphaModFix/>
        </a:blip>
        <a:srcRect/>
        <a:stretch/>
      </xdr:blipFill>
      <xdr:spPr>
        <a:xfrm>
          <a:off x="114300" y="114300"/>
          <a:ext cx="1533525" cy="80010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55</xdr:col>
      <xdr:colOff>0</xdr:colOff>
      <xdr:row>4</xdr:row>
      <xdr:rowOff>0</xdr:rowOff>
    </xdr:from>
    <xdr:to>
      <xdr:col>56</xdr:col>
      <xdr:colOff>190500</xdr:colOff>
      <xdr:row>5</xdr:row>
      <xdr:rowOff>76200</xdr:rowOff>
    </xdr:to>
    <xdr:sp macro="" textlink="">
      <xdr:nvSpPr>
        <xdr:cNvPr id="2" name="AutoShape 28" descr="logo_deands">
          <a:extLst>
            <a:ext uri="{FF2B5EF4-FFF2-40B4-BE49-F238E27FC236}">
              <a16:creationId xmlns:a16="http://schemas.microsoft.com/office/drawing/2014/main" id="{00000000-0008-0000-0100-000002000000}"/>
            </a:ext>
          </a:extLst>
        </xdr:cNvPr>
        <xdr:cNvSpPr>
          <a:spLocks noChangeAspect="1" noChangeArrowheads="1"/>
        </xdr:cNvSpPr>
      </xdr:nvSpPr>
      <xdr:spPr bwMode="auto">
        <a:xfrm>
          <a:off x="13845540" y="571500"/>
          <a:ext cx="304800" cy="304800"/>
        </a:xfrm>
        <a:prstGeom prst="rect">
          <a:avLst/>
        </a:prstGeom>
        <a:noFill/>
        <a:ln w="9525">
          <a:noFill/>
          <a:miter lim="800000"/>
          <a:headEnd/>
          <a:tailEnd/>
        </a:ln>
      </xdr:spPr>
    </xdr:sp>
    <xdr:clientData/>
  </xdr:twoCellAnchor>
  <xdr:twoCellAnchor editAs="oneCell">
    <xdr:from>
      <xdr:col>4</xdr:col>
      <xdr:colOff>205742</xdr:colOff>
      <xdr:row>11</xdr:row>
      <xdr:rowOff>182880</xdr:rowOff>
    </xdr:from>
    <xdr:to>
      <xdr:col>6</xdr:col>
      <xdr:colOff>50031</xdr:colOff>
      <xdr:row>13</xdr:row>
      <xdr:rowOff>85680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6537962" y="11727180"/>
          <a:ext cx="362449" cy="360000"/>
        </a:xfrm>
        <a:prstGeom prst="rect">
          <a:avLst/>
        </a:prstGeom>
      </xdr:spPr>
    </xdr:pic>
    <xdr:clientData/>
  </xdr:twoCellAnchor>
  <xdr:twoCellAnchor editAs="oneCell">
    <xdr:from>
      <xdr:col>11</xdr:col>
      <xdr:colOff>213360</xdr:colOff>
      <xdr:row>11</xdr:row>
      <xdr:rowOff>175260</xdr:rowOff>
    </xdr:from>
    <xdr:to>
      <xdr:col>13</xdr:col>
      <xdr:colOff>55200</xdr:colOff>
      <xdr:row>13</xdr:row>
      <xdr:rowOff>78060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8359140" y="11719560"/>
          <a:ext cx="360000" cy="360000"/>
        </a:xfrm>
        <a:prstGeom prst="rect">
          <a:avLst/>
        </a:prstGeom>
      </xdr:spPr>
    </xdr:pic>
    <xdr:clientData/>
  </xdr:twoCellAnchor>
  <xdr:twoCellAnchor editAs="oneCell">
    <xdr:from>
      <xdr:col>18</xdr:col>
      <xdr:colOff>220988</xdr:colOff>
      <xdr:row>11</xdr:row>
      <xdr:rowOff>182880</xdr:rowOff>
    </xdr:from>
    <xdr:to>
      <xdr:col>20</xdr:col>
      <xdr:colOff>60393</xdr:colOff>
      <xdr:row>13</xdr:row>
      <xdr:rowOff>85680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10180328" y="11727180"/>
          <a:ext cx="357565" cy="360000"/>
        </a:xfrm>
        <a:prstGeom prst="rect">
          <a:avLst/>
        </a:prstGeom>
      </xdr:spPr>
    </xdr:pic>
    <xdr:clientData/>
  </xdr:twoCellAnchor>
  <xdr:twoCellAnchor editAs="oneCell">
    <xdr:from>
      <xdr:col>4</xdr:col>
      <xdr:colOff>220980</xdr:colOff>
      <xdr:row>16</xdr:row>
      <xdr:rowOff>152400</xdr:rowOff>
    </xdr:from>
    <xdr:to>
      <xdr:col>6</xdr:col>
      <xdr:colOff>62820</xdr:colOff>
      <xdr:row>18</xdr:row>
      <xdr:rowOff>55200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
        <a:stretch>
          <a:fillRect/>
        </a:stretch>
      </xdr:blipFill>
      <xdr:spPr>
        <a:xfrm>
          <a:off x="6553200" y="12839700"/>
          <a:ext cx="360000" cy="360000"/>
        </a:xfrm>
        <a:prstGeom prst="rect">
          <a:avLst/>
        </a:prstGeom>
      </xdr:spPr>
    </xdr:pic>
    <xdr:clientData/>
  </xdr:twoCellAnchor>
  <xdr:twoCellAnchor editAs="oneCell">
    <xdr:from>
      <xdr:col>11</xdr:col>
      <xdr:colOff>220988</xdr:colOff>
      <xdr:row>16</xdr:row>
      <xdr:rowOff>190500</xdr:rowOff>
    </xdr:from>
    <xdr:to>
      <xdr:col>13</xdr:col>
      <xdr:colOff>60393</xdr:colOff>
      <xdr:row>18</xdr:row>
      <xdr:rowOff>93300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a:stretch>
          <a:fillRect/>
        </a:stretch>
      </xdr:blipFill>
      <xdr:spPr>
        <a:xfrm>
          <a:off x="8366768" y="12877800"/>
          <a:ext cx="357565" cy="360000"/>
        </a:xfrm>
        <a:prstGeom prst="rect">
          <a:avLst/>
        </a:prstGeom>
      </xdr:spPr>
    </xdr:pic>
    <xdr:clientData/>
  </xdr:twoCellAnchor>
  <xdr:twoCellAnchor editAs="oneCell">
    <xdr:from>
      <xdr:col>18</xdr:col>
      <xdr:colOff>213360</xdr:colOff>
      <xdr:row>16</xdr:row>
      <xdr:rowOff>175260</xdr:rowOff>
    </xdr:from>
    <xdr:to>
      <xdr:col>20</xdr:col>
      <xdr:colOff>55200</xdr:colOff>
      <xdr:row>18</xdr:row>
      <xdr:rowOff>78060</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10172700" y="12862560"/>
          <a:ext cx="360000" cy="360000"/>
        </a:xfrm>
        <a:prstGeom prst="rect">
          <a:avLst/>
        </a:prstGeom>
      </xdr:spPr>
    </xdr:pic>
    <xdr:clientData/>
  </xdr:twoCellAnchor>
  <xdr:twoCellAnchor editAs="oneCell">
    <xdr:from>
      <xdr:col>4</xdr:col>
      <xdr:colOff>220980</xdr:colOff>
      <xdr:row>21</xdr:row>
      <xdr:rowOff>106680</xdr:rowOff>
    </xdr:from>
    <xdr:to>
      <xdr:col>6</xdr:col>
      <xdr:colOff>62820</xdr:colOff>
      <xdr:row>23</xdr:row>
      <xdr:rowOff>9480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7"/>
        <a:stretch>
          <a:fillRect/>
        </a:stretch>
      </xdr:blipFill>
      <xdr:spPr>
        <a:xfrm>
          <a:off x="6553200" y="13936980"/>
          <a:ext cx="360000" cy="360000"/>
        </a:xfrm>
        <a:prstGeom prst="rect">
          <a:avLst/>
        </a:prstGeom>
      </xdr:spPr>
    </xdr:pic>
    <xdr:clientData/>
  </xdr:twoCellAnchor>
  <xdr:twoCellAnchor editAs="oneCell">
    <xdr:from>
      <xdr:col>11</xdr:col>
      <xdr:colOff>213368</xdr:colOff>
      <xdr:row>21</xdr:row>
      <xdr:rowOff>167640</xdr:rowOff>
    </xdr:from>
    <xdr:to>
      <xdr:col>13</xdr:col>
      <xdr:colOff>52773</xdr:colOff>
      <xdr:row>23</xdr:row>
      <xdr:rowOff>70440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8"/>
        <a:stretch>
          <a:fillRect/>
        </a:stretch>
      </xdr:blipFill>
      <xdr:spPr>
        <a:xfrm>
          <a:off x="8359148" y="13997940"/>
          <a:ext cx="357565" cy="360000"/>
        </a:xfrm>
        <a:prstGeom prst="rect">
          <a:avLst/>
        </a:prstGeom>
      </xdr:spPr>
    </xdr:pic>
    <xdr:clientData/>
  </xdr:twoCellAnchor>
  <xdr:twoCellAnchor editAs="oneCell">
    <xdr:from>
      <xdr:col>18</xdr:col>
      <xdr:colOff>205748</xdr:colOff>
      <xdr:row>21</xdr:row>
      <xdr:rowOff>152400</xdr:rowOff>
    </xdr:from>
    <xdr:to>
      <xdr:col>20</xdr:col>
      <xdr:colOff>50035</xdr:colOff>
      <xdr:row>23</xdr:row>
      <xdr:rowOff>55200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9"/>
        <a:stretch>
          <a:fillRect/>
        </a:stretch>
      </xdr:blipFill>
      <xdr:spPr>
        <a:xfrm>
          <a:off x="10165088" y="13982700"/>
          <a:ext cx="362447" cy="360000"/>
        </a:xfrm>
        <a:prstGeom prst="rect">
          <a:avLst/>
        </a:prstGeom>
      </xdr:spPr>
    </xdr:pic>
    <xdr:clientData/>
  </xdr:twoCellAnchor>
  <xdr:twoCellAnchor editAs="oneCell">
    <xdr:from>
      <xdr:col>51</xdr:col>
      <xdr:colOff>83820</xdr:colOff>
      <xdr:row>27</xdr:row>
      <xdr:rowOff>7620</xdr:rowOff>
    </xdr:from>
    <xdr:to>
      <xdr:col>54</xdr:col>
      <xdr:colOff>206580</xdr:colOff>
      <xdr:row>30</xdr:row>
      <xdr:rowOff>221820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2893040" y="10408920"/>
          <a:ext cx="900000" cy="900000"/>
        </a:xfrm>
        <a:prstGeom prst="rect">
          <a:avLst/>
        </a:prstGeom>
      </xdr:spPr>
    </xdr:pic>
    <xdr:clientData/>
  </xdr:twoCellAnchor>
  <xdr:twoCellAnchor>
    <xdr:from>
      <xdr:col>24</xdr:col>
      <xdr:colOff>243840</xdr:colOff>
      <xdr:row>9</xdr:row>
      <xdr:rowOff>11430</xdr:rowOff>
    </xdr:from>
    <xdr:to>
      <xdr:col>44</xdr:col>
      <xdr:colOff>76200</xdr:colOff>
      <xdr:row>22</xdr:row>
      <xdr:rowOff>45720</xdr:rowOff>
    </xdr:to>
    <xdr:graphicFrame macro="">
      <xdr:nvGraphicFramePr>
        <xdr:cNvPr id="20" name="Chart 19">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220980</xdr:colOff>
      <xdr:row>25</xdr:row>
      <xdr:rowOff>156210</xdr:rowOff>
    </xdr:from>
    <xdr:to>
      <xdr:col>44</xdr:col>
      <xdr:colOff>76200</xdr:colOff>
      <xdr:row>39</xdr:row>
      <xdr:rowOff>68580</xdr:rowOff>
    </xdr:to>
    <xdr:graphicFrame macro="">
      <xdr:nvGraphicFramePr>
        <xdr:cNvPr id="21" name="Chart 20">
          <a:extLst>
            <a:ext uri="{FF2B5EF4-FFF2-40B4-BE49-F238E27FC236}">
              <a16:creationId xmlns:a16="http://schemas.microsoft.com/office/drawing/2014/main" id="{00000000-0008-0000-01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46</xdr:col>
      <xdr:colOff>228600</xdr:colOff>
      <xdr:row>37</xdr:row>
      <xdr:rowOff>7620</xdr:rowOff>
    </xdr:from>
    <xdr:to>
      <xdr:col>50</xdr:col>
      <xdr:colOff>92280</xdr:colOff>
      <xdr:row>39</xdr:row>
      <xdr:rowOff>90420</xdr:rowOff>
    </xdr:to>
    <xdr:sp macro="[0]!_xludf.Sort" textlink="">
      <xdr:nvSpPr>
        <xdr:cNvPr id="22" name="Bevel 21">
          <a:extLst>
            <a:ext uri="{FF2B5EF4-FFF2-40B4-BE49-F238E27FC236}">
              <a16:creationId xmlns:a16="http://schemas.microsoft.com/office/drawing/2014/main" id="{00000000-0008-0000-0100-000016000000}"/>
            </a:ext>
          </a:extLst>
        </xdr:cNvPr>
        <xdr:cNvSpPr/>
      </xdr:nvSpPr>
      <xdr:spPr>
        <a:xfrm>
          <a:off x="11742420" y="7894320"/>
          <a:ext cx="900000" cy="540000"/>
        </a:xfrm>
        <a:prstGeom prst="bevel">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lstStyle/>
        <a:p>
          <a:pPr algn="ctr"/>
          <a:r>
            <a:rPr lang="en-GB" sz="1200" b="1" i="1"/>
            <a:t>Sort</a:t>
          </a:r>
        </a:p>
      </xdr:txBody>
    </xdr:sp>
    <xdr:clientData/>
  </xdr:twoCellAnchor>
  <xdr:twoCellAnchor>
    <xdr:from>
      <xdr:col>50</xdr:col>
      <xdr:colOff>205740</xdr:colOff>
      <xdr:row>37</xdr:row>
      <xdr:rowOff>7620</xdr:rowOff>
    </xdr:from>
    <xdr:to>
      <xdr:col>54</xdr:col>
      <xdr:colOff>69420</xdr:colOff>
      <xdr:row>39</xdr:row>
      <xdr:rowOff>90420</xdr:rowOff>
    </xdr:to>
    <xdr:sp macro="[0]!Start" textlink="">
      <xdr:nvSpPr>
        <xdr:cNvPr id="23" name="Bevel 22">
          <a:extLst>
            <a:ext uri="{FF2B5EF4-FFF2-40B4-BE49-F238E27FC236}">
              <a16:creationId xmlns:a16="http://schemas.microsoft.com/office/drawing/2014/main" id="{00000000-0008-0000-0100-000017000000}"/>
            </a:ext>
          </a:extLst>
        </xdr:cNvPr>
        <xdr:cNvSpPr/>
      </xdr:nvSpPr>
      <xdr:spPr>
        <a:xfrm>
          <a:off x="12755880" y="7894320"/>
          <a:ext cx="900000" cy="540000"/>
        </a:xfrm>
        <a:prstGeom prst="bevel">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nchorCtr="1"/>
        <a:lstStyle/>
        <a:p>
          <a:pPr algn="ctr"/>
          <a:r>
            <a:rPr lang="en-GB" sz="1200" b="1" i="1"/>
            <a:t>Reset</a:t>
          </a:r>
        </a:p>
      </xdr:txBody>
    </xdr:sp>
    <xdr:clientData/>
  </xdr:twoCellAnchor>
  <xdr:twoCellAnchor editAs="oneCell">
    <xdr:from>
      <xdr:col>2</xdr:col>
      <xdr:colOff>114300</xdr:colOff>
      <xdr:row>41</xdr:row>
      <xdr:rowOff>213360</xdr:rowOff>
    </xdr:from>
    <xdr:to>
      <xdr:col>7</xdr:col>
      <xdr:colOff>18900</xdr:colOff>
      <xdr:row>45</xdr:row>
      <xdr:rowOff>198960</xdr:rowOff>
    </xdr:to>
    <xdr:pic>
      <xdr:nvPicPr>
        <xdr:cNvPr id="24" name="Picture 23" descr="C:\Users\Windows\Pictures\3D Pictures\Thinking.jpg">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28600" y="9014460"/>
          <a:ext cx="1200000" cy="90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33</xdr:col>
      <xdr:colOff>99060</xdr:colOff>
      <xdr:row>27</xdr:row>
      <xdr:rowOff>167640</xdr:rowOff>
    </xdr:from>
    <xdr:to>
      <xdr:col>33</xdr:col>
      <xdr:colOff>99060</xdr:colOff>
      <xdr:row>34</xdr:row>
      <xdr:rowOff>7440</xdr:rowOff>
    </xdr:to>
    <xdr:cxnSp macro="">
      <xdr:nvCxnSpPr>
        <xdr:cNvPr id="14" name="Straight Connector 13">
          <a:extLst>
            <a:ext uri="{FF2B5EF4-FFF2-40B4-BE49-F238E27FC236}">
              <a16:creationId xmlns:a16="http://schemas.microsoft.com/office/drawing/2014/main" id="{00000000-0008-0000-0100-00000E000000}"/>
            </a:ext>
          </a:extLst>
        </xdr:cNvPr>
        <xdr:cNvCxnSpPr/>
      </xdr:nvCxnSpPr>
      <xdr:spPr>
        <a:xfrm>
          <a:off x="8244840" y="5768340"/>
          <a:ext cx="0" cy="1440000"/>
        </a:xfrm>
        <a:prstGeom prst="line">
          <a:avLst/>
        </a:prstGeom>
      </xdr:spPr>
      <xdr:style>
        <a:lnRef idx="3">
          <a:schemeClr val="accent1"/>
        </a:lnRef>
        <a:fillRef idx="0">
          <a:schemeClr val="accent1"/>
        </a:fillRef>
        <a:effectRef idx="2">
          <a:schemeClr val="accent1"/>
        </a:effectRef>
        <a:fontRef idx="minor">
          <a:schemeClr val="tx1"/>
        </a:fontRef>
      </xdr:style>
    </xdr:cxnSp>
    <xdr:clientData/>
  </xdr:twoCellAnchor>
  <xdr:twoCellAnchor>
    <xdr:from>
      <xdr:col>38</xdr:col>
      <xdr:colOff>213360</xdr:colOff>
      <xdr:row>27</xdr:row>
      <xdr:rowOff>182880</xdr:rowOff>
    </xdr:from>
    <xdr:to>
      <xdr:col>38</xdr:col>
      <xdr:colOff>213360</xdr:colOff>
      <xdr:row>34</xdr:row>
      <xdr:rowOff>22680</xdr:rowOff>
    </xdr:to>
    <xdr:cxnSp macro="">
      <xdr:nvCxnSpPr>
        <xdr:cNvPr id="26" name="Straight Connector 25">
          <a:extLst>
            <a:ext uri="{FF2B5EF4-FFF2-40B4-BE49-F238E27FC236}">
              <a16:creationId xmlns:a16="http://schemas.microsoft.com/office/drawing/2014/main" id="{00000000-0008-0000-0100-00001A000000}"/>
            </a:ext>
          </a:extLst>
        </xdr:cNvPr>
        <xdr:cNvCxnSpPr/>
      </xdr:nvCxnSpPr>
      <xdr:spPr>
        <a:xfrm>
          <a:off x="9654540" y="5783580"/>
          <a:ext cx="0" cy="1440000"/>
        </a:xfrm>
        <a:prstGeom prst="line">
          <a:avLst/>
        </a:prstGeom>
      </xdr:spPr>
      <xdr:style>
        <a:lnRef idx="3">
          <a:schemeClr val="accent1"/>
        </a:lnRef>
        <a:fillRef idx="0">
          <a:schemeClr val="accent1"/>
        </a:fillRef>
        <a:effectRef idx="2">
          <a:schemeClr val="accent1"/>
        </a:effectRef>
        <a:fontRef idx="minor">
          <a:schemeClr val="tx1"/>
        </a:fontRef>
      </xdr:style>
    </xdr:cxnSp>
    <xdr:clientData/>
  </xdr:twoCellAnchor>
  <xdr:oneCellAnchor>
    <xdr:from>
      <xdr:col>27</xdr:col>
      <xdr:colOff>182880</xdr:colOff>
      <xdr:row>26</xdr:row>
      <xdr:rowOff>190500</xdr:rowOff>
    </xdr:from>
    <xdr:ext cx="1264920" cy="233205"/>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6774180" y="5562600"/>
          <a:ext cx="1264920" cy="233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GB" sz="900" b="1" i="1">
              <a:solidFill>
                <a:srgbClr val="002060"/>
              </a:solidFill>
            </a:rPr>
            <a:t>Preferred Roles</a:t>
          </a:r>
        </a:p>
      </xdr:txBody>
    </xdr:sp>
    <xdr:clientData/>
  </xdr:oneCellAnchor>
  <xdr:oneCellAnchor>
    <xdr:from>
      <xdr:col>33</xdr:col>
      <xdr:colOff>30480</xdr:colOff>
      <xdr:row>26</xdr:row>
      <xdr:rowOff>205740</xdr:rowOff>
    </xdr:from>
    <xdr:ext cx="1318260" cy="233205"/>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8176260" y="5577840"/>
          <a:ext cx="1318260" cy="233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GB" sz="900" b="1" i="1">
              <a:solidFill>
                <a:srgbClr val="002060"/>
              </a:solidFill>
            </a:rPr>
            <a:t>Manageable Roles</a:t>
          </a:r>
        </a:p>
      </xdr:txBody>
    </xdr:sp>
    <xdr:clientData/>
  </xdr:oneCellAnchor>
  <xdr:oneCellAnchor>
    <xdr:from>
      <xdr:col>38</xdr:col>
      <xdr:colOff>106680</xdr:colOff>
      <xdr:row>26</xdr:row>
      <xdr:rowOff>190500</xdr:rowOff>
    </xdr:from>
    <xdr:ext cx="1203959" cy="233205"/>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9547860" y="5562600"/>
          <a:ext cx="1203959" cy="233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GB" sz="900" b="1" i="1">
              <a:solidFill>
                <a:srgbClr val="002060"/>
              </a:solidFill>
            </a:rPr>
            <a:t>Least Preferred Roles</a:t>
          </a:r>
        </a:p>
      </xdr:txBody>
    </xdr:sp>
    <xdr:clientData/>
  </xdr:oneCellAnchor>
  <xdr:twoCellAnchor editAs="oneCell">
    <xdr:from>
      <xdr:col>2</xdr:col>
      <xdr:colOff>0</xdr:colOff>
      <xdr:row>2</xdr:row>
      <xdr:rowOff>0</xdr:rowOff>
    </xdr:from>
    <xdr:to>
      <xdr:col>8</xdr:col>
      <xdr:colOff>47625</xdr:colOff>
      <xdr:row>6</xdr:row>
      <xdr:rowOff>0</xdr:rowOff>
    </xdr:to>
    <xdr:pic>
      <xdr:nvPicPr>
        <xdr:cNvPr id="25" name="Google Shape;22;p4">
          <a:extLst>
            <a:ext uri="{FF2B5EF4-FFF2-40B4-BE49-F238E27FC236}">
              <a16:creationId xmlns:a16="http://schemas.microsoft.com/office/drawing/2014/main" id="{00000000-0008-0000-0100-000019000000}"/>
            </a:ext>
          </a:extLst>
        </xdr:cNvPr>
        <xdr:cNvPicPr preferRelativeResize="0"/>
      </xdr:nvPicPr>
      <xdr:blipFill rotWithShape="1">
        <a:blip xmlns:r="http://schemas.openxmlformats.org/officeDocument/2006/relationships" r:embed="rId14">
          <a:alphaModFix/>
        </a:blip>
        <a:srcRect/>
        <a:stretch/>
      </xdr:blipFill>
      <xdr:spPr>
        <a:xfrm>
          <a:off x="114300" y="114300"/>
          <a:ext cx="1533525" cy="80010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54</xdr:col>
      <xdr:colOff>0</xdr:colOff>
      <xdr:row>3</xdr:row>
      <xdr:rowOff>0</xdr:rowOff>
    </xdr:from>
    <xdr:to>
      <xdr:col>55</xdr:col>
      <xdr:colOff>190500</xdr:colOff>
      <xdr:row>4</xdr:row>
      <xdr:rowOff>76200</xdr:rowOff>
    </xdr:to>
    <xdr:sp macro="" textlink="">
      <xdr:nvSpPr>
        <xdr:cNvPr id="2" name="AutoShape 28" descr="logo_deands">
          <a:extLst>
            <a:ext uri="{FF2B5EF4-FFF2-40B4-BE49-F238E27FC236}">
              <a16:creationId xmlns:a16="http://schemas.microsoft.com/office/drawing/2014/main" id="{00000000-0008-0000-0200-000002000000}"/>
            </a:ext>
          </a:extLst>
        </xdr:cNvPr>
        <xdr:cNvSpPr>
          <a:spLocks noChangeAspect="1" noChangeArrowheads="1"/>
        </xdr:cNvSpPr>
      </xdr:nvSpPr>
      <xdr:spPr bwMode="auto">
        <a:xfrm>
          <a:off x="13845540" y="571500"/>
          <a:ext cx="304800" cy="304800"/>
        </a:xfrm>
        <a:prstGeom prst="rect">
          <a:avLst/>
        </a:prstGeom>
        <a:noFill/>
        <a:ln w="9525">
          <a:noFill/>
          <a:miter lim="800000"/>
          <a:headEnd/>
          <a:tailEnd/>
        </a:ln>
      </xdr:spPr>
    </xdr:sp>
    <xdr:clientData/>
  </xdr:twoCellAnchor>
  <xdr:twoCellAnchor editAs="oneCell">
    <xdr:from>
      <xdr:col>23</xdr:col>
      <xdr:colOff>160021</xdr:colOff>
      <xdr:row>9</xdr:row>
      <xdr:rowOff>7620</xdr:rowOff>
    </xdr:from>
    <xdr:to>
      <xdr:col>43</xdr:col>
      <xdr:colOff>53341</xdr:colOff>
      <xdr:row>36</xdr:row>
      <xdr:rowOff>91440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5722621" y="1722120"/>
          <a:ext cx="4846320" cy="6256020"/>
        </a:xfrm>
        <a:prstGeom prst="rect">
          <a:avLst/>
        </a:prstGeom>
      </xdr:spPr>
    </xdr:pic>
    <xdr:clientData/>
  </xdr:twoCellAnchor>
  <xdr:twoCellAnchor editAs="oneCell">
    <xdr:from>
      <xdr:col>2</xdr:col>
      <xdr:colOff>0</xdr:colOff>
      <xdr:row>39</xdr:row>
      <xdr:rowOff>0</xdr:rowOff>
    </xdr:from>
    <xdr:to>
      <xdr:col>5</xdr:col>
      <xdr:colOff>108956</xdr:colOff>
      <xdr:row>41</xdr:row>
      <xdr:rowOff>167640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18104"/>
        <a:stretch/>
      </xdr:blipFill>
      <xdr:spPr>
        <a:xfrm flipH="1">
          <a:off x="373380" y="8572500"/>
          <a:ext cx="886196" cy="624840"/>
        </a:xfrm>
        <a:prstGeom prst="rect">
          <a:avLst/>
        </a:prstGeom>
      </xdr:spPr>
    </xdr:pic>
    <xdr:clientData/>
  </xdr:twoCellAnchor>
  <xdr:twoCellAnchor editAs="oneCell">
    <xdr:from>
      <xdr:col>7</xdr:col>
      <xdr:colOff>251460</xdr:colOff>
      <xdr:row>39</xdr:row>
      <xdr:rowOff>22860</xdr:rowOff>
    </xdr:from>
    <xdr:to>
      <xdr:col>11</xdr:col>
      <xdr:colOff>115140</xdr:colOff>
      <xdr:row>44</xdr:row>
      <xdr:rowOff>139860</xdr:rowOff>
    </xdr:to>
    <xdr:pic>
      <xdr:nvPicPr>
        <xdr:cNvPr id="5" name="irc_mi" descr="http://www.belbin.com/content/images/1/1/542/1141.jpg">
          <a:extLst>
            <a:ext uri="{FF2B5EF4-FFF2-40B4-BE49-F238E27FC236}">
              <a16:creationId xmlns:a16="http://schemas.microsoft.com/office/drawing/2014/main" id="{00000000-0008-0000-0200-000005000000}"/>
            </a:ext>
          </a:extLst>
        </xdr:cNvPr>
        <xdr:cNvPicPr>
          <a:picLocks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 t="3629" r="93"/>
        <a:stretch/>
      </xdr:blipFill>
      <xdr:spPr bwMode="auto">
        <a:xfrm>
          <a:off x="1920240" y="8595360"/>
          <a:ext cx="900000" cy="126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74295</xdr:colOff>
      <xdr:row>39</xdr:row>
      <xdr:rowOff>30480</xdr:rowOff>
    </xdr:from>
    <xdr:to>
      <xdr:col>14</xdr:col>
      <xdr:colOff>197055</xdr:colOff>
      <xdr:row>44</xdr:row>
      <xdr:rowOff>147480</xdr:rowOff>
    </xdr:to>
    <xdr:pic>
      <xdr:nvPicPr>
        <xdr:cNvPr id="6" name="irc_mi" descr="http://www.belbin.com/content/images/1/1/543/1142.jpg">
          <a:extLst>
            <a:ext uri="{FF2B5EF4-FFF2-40B4-BE49-F238E27FC236}">
              <a16:creationId xmlns:a16="http://schemas.microsoft.com/office/drawing/2014/main" id="{00000000-0008-0000-0200-000006000000}"/>
            </a:ext>
          </a:extLst>
        </xdr:cNvPr>
        <xdr:cNvPicPr>
          <a:picLocks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 t="2420" r="1787"/>
        <a:stretch/>
      </xdr:blipFill>
      <xdr:spPr bwMode="auto">
        <a:xfrm>
          <a:off x="2665095" y="8602980"/>
          <a:ext cx="865710" cy="126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213360</xdr:colOff>
      <xdr:row>39</xdr:row>
      <xdr:rowOff>38100</xdr:rowOff>
    </xdr:from>
    <xdr:to>
      <xdr:col>18</xdr:col>
      <xdr:colOff>77040</xdr:colOff>
      <xdr:row>44</xdr:row>
      <xdr:rowOff>155100</xdr:rowOff>
    </xdr:to>
    <xdr:pic>
      <xdr:nvPicPr>
        <xdr:cNvPr id="7" name="irc_mi" descr="http://www.belbin.com/content/images/1/1/662/1326.jpg">
          <a:extLst>
            <a:ext uri="{FF2B5EF4-FFF2-40B4-BE49-F238E27FC236}">
              <a16:creationId xmlns:a16="http://schemas.microsoft.com/office/drawing/2014/main" id="{00000000-0008-0000-0200-000007000000}"/>
            </a:ext>
          </a:extLst>
        </xdr:cNvPr>
        <xdr:cNvPicPr>
          <a:picLocks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3630" r="940" b="3843"/>
        <a:stretch/>
      </xdr:blipFill>
      <xdr:spPr bwMode="auto">
        <a:xfrm>
          <a:off x="3695700" y="8610600"/>
          <a:ext cx="900000" cy="126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99060</xdr:colOff>
      <xdr:row>39</xdr:row>
      <xdr:rowOff>45720</xdr:rowOff>
    </xdr:from>
    <xdr:to>
      <xdr:col>21</xdr:col>
      <xdr:colOff>221820</xdr:colOff>
      <xdr:row>44</xdr:row>
      <xdr:rowOff>162720</xdr:rowOff>
    </xdr:to>
    <xdr:pic>
      <xdr:nvPicPr>
        <xdr:cNvPr id="8" name="irc_mi" descr="http://www.belbin.com/content/images/1/1/3/11.gif">
          <a:extLst>
            <a:ext uri="{FF2B5EF4-FFF2-40B4-BE49-F238E27FC236}">
              <a16:creationId xmlns:a16="http://schemas.microsoft.com/office/drawing/2014/main" id="{00000000-0008-0000-0200-000008000000}"/>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17720" y="8618220"/>
          <a:ext cx="900000" cy="126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7</xdr:col>
      <xdr:colOff>47625</xdr:colOff>
      <xdr:row>5</xdr:row>
      <xdr:rowOff>0</xdr:rowOff>
    </xdr:to>
    <xdr:pic>
      <xdr:nvPicPr>
        <xdr:cNvPr id="11" name="Google Shape;22;p4">
          <a:extLst>
            <a:ext uri="{FF2B5EF4-FFF2-40B4-BE49-F238E27FC236}">
              <a16:creationId xmlns:a16="http://schemas.microsoft.com/office/drawing/2014/main" id="{00000000-0008-0000-0200-00000B000000}"/>
            </a:ext>
          </a:extLst>
        </xdr:cNvPr>
        <xdr:cNvPicPr preferRelativeResize="0"/>
      </xdr:nvPicPr>
      <xdr:blipFill rotWithShape="1">
        <a:blip xmlns:r="http://schemas.openxmlformats.org/officeDocument/2006/relationships" r:embed="rId7">
          <a:alphaModFix/>
        </a:blip>
        <a:srcRect/>
        <a:stretch/>
      </xdr:blipFill>
      <xdr:spPr>
        <a:xfrm>
          <a:off x="114300" y="114300"/>
          <a:ext cx="1533525" cy="800100"/>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belbin.com/"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belbin.com/"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www.belbin.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pageSetUpPr fitToPage="1"/>
  </sheetPr>
  <dimension ref="A1:BC108"/>
  <sheetViews>
    <sheetView showGridLines="0" showRowColHeaders="0" showZeros="0" topLeftCell="A22" zoomScaleNormal="100" zoomScaleSheetLayoutView="100" workbookViewId="0">
      <selection activeCell="D34" sqref="D34:R35"/>
    </sheetView>
  </sheetViews>
  <sheetFormatPr baseColWidth="10" defaultColWidth="3.6640625" defaultRowHeight="15" x14ac:dyDescent="0.2"/>
  <cols>
    <col min="1" max="1" width="1.6640625" style="4" customWidth="1"/>
    <col min="2" max="34" width="3.6640625" style="49" customWidth="1"/>
    <col min="35" max="54" width="3.6640625" style="4" customWidth="1"/>
    <col min="55" max="55" width="1.6640625" style="4" customWidth="1"/>
    <col min="56" max="16384" width="3.6640625" style="4"/>
  </cols>
  <sheetData>
    <row r="1" spans="1:55" ht="9" customHeight="1" thickTop="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3"/>
    </row>
    <row r="2" spans="1:55" s="8" customFormat="1" ht="18" customHeight="1" thickTop="1" x14ac:dyDescent="0.15">
      <c r="A2" s="5"/>
      <c r="B2" s="209"/>
      <c r="C2" s="209"/>
      <c r="D2" s="209"/>
      <c r="E2" s="209"/>
      <c r="F2" s="209"/>
      <c r="G2" s="209"/>
      <c r="H2" s="6"/>
      <c r="I2" s="6"/>
      <c r="J2" s="217" t="str">
        <f>Belbin!J2</f>
        <v xml:space="preserve">  
Principles of Project Management (DA) (2020)</v>
      </c>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9"/>
      <c r="AR2" s="6"/>
      <c r="AS2" s="6"/>
      <c r="AT2" s="210" t="s">
        <v>14</v>
      </c>
      <c r="AU2" s="211"/>
      <c r="AV2" s="211"/>
      <c r="AW2" s="211"/>
      <c r="AX2" s="211"/>
      <c r="AY2" s="211"/>
      <c r="AZ2" s="211"/>
      <c r="BA2" s="211"/>
      <c r="BB2" s="211"/>
      <c r="BC2" s="7"/>
    </row>
    <row r="3" spans="1:55" s="11" customFormat="1" ht="18" customHeight="1" x14ac:dyDescent="0.15">
      <c r="A3" s="5"/>
      <c r="B3" s="209"/>
      <c r="C3" s="209"/>
      <c r="D3" s="209"/>
      <c r="E3" s="209"/>
      <c r="F3" s="209"/>
      <c r="G3" s="209"/>
      <c r="H3" s="9"/>
      <c r="I3" s="9"/>
      <c r="J3" s="220"/>
      <c r="K3" s="221"/>
      <c r="L3" s="221"/>
      <c r="M3" s="221"/>
      <c r="N3" s="221"/>
      <c r="O3" s="221"/>
      <c r="P3" s="221"/>
      <c r="Q3" s="221"/>
      <c r="R3" s="221"/>
      <c r="S3" s="221"/>
      <c r="T3" s="221"/>
      <c r="U3" s="221"/>
      <c r="V3" s="221"/>
      <c r="W3" s="221"/>
      <c r="X3" s="221"/>
      <c r="Y3" s="221"/>
      <c r="Z3" s="221"/>
      <c r="AA3" s="221"/>
      <c r="AB3" s="221"/>
      <c r="AC3" s="221"/>
      <c r="AD3" s="221"/>
      <c r="AE3" s="221"/>
      <c r="AF3" s="221"/>
      <c r="AG3" s="221"/>
      <c r="AH3" s="221"/>
      <c r="AI3" s="221"/>
      <c r="AJ3" s="221"/>
      <c r="AK3" s="221"/>
      <c r="AL3" s="221"/>
      <c r="AM3" s="221"/>
      <c r="AN3" s="221"/>
      <c r="AO3" s="221"/>
      <c r="AP3" s="221"/>
      <c r="AQ3" s="222"/>
      <c r="AR3" s="10"/>
      <c r="AS3" s="10"/>
      <c r="AT3" s="211"/>
      <c r="AU3" s="211"/>
      <c r="AV3" s="211"/>
      <c r="AW3" s="211"/>
      <c r="AX3" s="211"/>
      <c r="AY3" s="211"/>
      <c r="AZ3" s="211"/>
      <c r="BA3" s="211"/>
      <c r="BB3" s="211"/>
      <c r="BC3" s="7"/>
    </row>
    <row r="4" spans="1:55" s="13" customFormat="1" ht="18" customHeight="1" x14ac:dyDescent="0.15">
      <c r="A4" s="5"/>
      <c r="B4" s="209"/>
      <c r="C4" s="209"/>
      <c r="D4" s="209"/>
      <c r="E4" s="209"/>
      <c r="F4" s="209"/>
      <c r="G4" s="209"/>
      <c r="H4" s="12"/>
      <c r="I4" s="12"/>
      <c r="J4" s="223"/>
      <c r="K4" s="224"/>
      <c r="L4" s="224"/>
      <c r="M4" s="224"/>
      <c r="N4" s="224"/>
      <c r="O4" s="224"/>
      <c r="P4" s="224"/>
      <c r="Q4" s="224"/>
      <c r="R4" s="224"/>
      <c r="S4" s="224"/>
      <c r="T4" s="224"/>
      <c r="U4" s="224"/>
      <c r="V4" s="224"/>
      <c r="W4" s="224"/>
      <c r="X4" s="224"/>
      <c r="Y4" s="224"/>
      <c r="Z4" s="224"/>
      <c r="AA4" s="224"/>
      <c r="AB4" s="224"/>
      <c r="AC4" s="224"/>
      <c r="AD4" s="224"/>
      <c r="AE4" s="224"/>
      <c r="AF4" s="224"/>
      <c r="AG4" s="224"/>
      <c r="AH4" s="224"/>
      <c r="AI4" s="224"/>
      <c r="AJ4" s="224"/>
      <c r="AK4" s="224"/>
      <c r="AL4" s="224"/>
      <c r="AM4" s="224"/>
      <c r="AN4" s="224"/>
      <c r="AO4" s="224"/>
      <c r="AP4" s="224"/>
      <c r="AQ4" s="225"/>
      <c r="AR4" s="12"/>
      <c r="AS4" s="12"/>
      <c r="AT4" s="211"/>
      <c r="AU4" s="211"/>
      <c r="AV4" s="211"/>
      <c r="AW4" s="211"/>
      <c r="AX4" s="211"/>
      <c r="AY4" s="211"/>
      <c r="AZ4" s="211"/>
      <c r="BA4" s="211"/>
      <c r="BB4" s="211"/>
      <c r="BC4" s="7"/>
    </row>
    <row r="5" spans="1:55" s="13" customFormat="1" ht="9" customHeight="1" thickBot="1" x14ac:dyDescent="0.25">
      <c r="A5" s="5"/>
      <c r="B5" s="209"/>
      <c r="C5" s="209"/>
      <c r="D5" s="209"/>
      <c r="E5" s="209"/>
      <c r="F5" s="209"/>
      <c r="G5" s="209"/>
      <c r="H5" s="12"/>
      <c r="I5" s="12"/>
      <c r="J5" s="14"/>
      <c r="K5" s="15"/>
      <c r="L5" s="15"/>
      <c r="M5" s="15"/>
      <c r="N5" s="15"/>
      <c r="O5" s="15"/>
      <c r="P5" s="15"/>
      <c r="Q5" s="15"/>
      <c r="R5" s="15"/>
      <c r="S5" s="15"/>
      <c r="T5" s="15"/>
      <c r="U5" s="15"/>
      <c r="V5" s="15"/>
      <c r="W5" s="15"/>
      <c r="X5" s="15"/>
      <c r="Y5" s="15"/>
      <c r="Z5" s="15"/>
      <c r="AA5" s="16"/>
      <c r="AB5" s="16"/>
      <c r="AC5" s="16"/>
      <c r="AD5" s="16"/>
      <c r="AE5" s="16"/>
      <c r="AF5" s="15"/>
      <c r="AG5" s="15"/>
      <c r="AH5" s="15"/>
      <c r="AI5" s="15"/>
      <c r="AJ5" s="15"/>
      <c r="AK5" s="15"/>
      <c r="AL5" s="15"/>
      <c r="AM5" s="15"/>
      <c r="AN5" s="15"/>
      <c r="AO5" s="15"/>
      <c r="AP5" s="15"/>
      <c r="AQ5" s="17"/>
      <c r="AR5" s="12"/>
      <c r="AS5" s="12"/>
      <c r="AT5" s="12"/>
      <c r="AU5" s="12"/>
      <c r="AV5" s="18"/>
      <c r="AW5" s="18"/>
      <c r="AX5" s="18"/>
      <c r="AY5" s="18"/>
      <c r="AZ5" s="18"/>
      <c r="BA5" s="18"/>
      <c r="BB5" s="18"/>
      <c r="BC5" s="7"/>
    </row>
    <row r="6" spans="1:55" s="13" customFormat="1" ht="18" customHeight="1" thickTop="1" thickBot="1" x14ac:dyDescent="0.2">
      <c r="A6" s="5"/>
      <c r="B6" s="209"/>
      <c r="C6" s="209"/>
      <c r="D6" s="209"/>
      <c r="E6" s="209"/>
      <c r="F6" s="209"/>
      <c r="G6" s="209"/>
      <c r="H6" s="19"/>
      <c r="I6" s="19"/>
      <c r="J6" s="212" t="s">
        <v>211</v>
      </c>
      <c r="K6" s="213"/>
      <c r="L6" s="213"/>
      <c r="M6" s="213"/>
      <c r="N6" s="213"/>
      <c r="O6" s="226"/>
      <c r="P6" s="226"/>
      <c r="Q6" s="226"/>
      <c r="R6" s="226"/>
      <c r="S6" s="226"/>
      <c r="T6" s="226"/>
      <c r="U6" s="226"/>
      <c r="V6" s="226"/>
      <c r="W6" s="226"/>
      <c r="X6" s="226"/>
      <c r="Y6" s="226"/>
      <c r="Z6" s="226"/>
      <c r="AA6" s="227"/>
      <c r="AB6" s="227"/>
      <c r="AC6" s="227"/>
      <c r="AD6" s="227"/>
      <c r="AE6" s="227"/>
      <c r="AF6" s="227"/>
      <c r="AG6" s="227"/>
      <c r="AH6" s="227"/>
      <c r="AI6" s="227"/>
      <c r="AJ6" s="227"/>
      <c r="AK6" s="227"/>
      <c r="AL6" s="227"/>
      <c r="AM6" s="227"/>
      <c r="AN6" s="227"/>
      <c r="AO6" s="227"/>
      <c r="AP6" s="227"/>
      <c r="AQ6" s="228"/>
      <c r="AR6" s="19"/>
      <c r="AS6" s="12"/>
      <c r="AT6" s="214" t="s">
        <v>0</v>
      </c>
      <c r="AU6" s="215"/>
      <c r="AV6" s="215"/>
      <c r="AW6" s="215"/>
      <c r="AX6" s="215"/>
      <c r="AY6" s="215"/>
      <c r="AZ6" s="215"/>
      <c r="BA6" s="215"/>
      <c r="BB6" s="216"/>
      <c r="BC6" s="7"/>
    </row>
    <row r="7" spans="1:55" s="13" customFormat="1" ht="9" customHeight="1" thickTop="1" thickBot="1" x14ac:dyDescent="0.2">
      <c r="A7" s="5"/>
      <c r="B7" s="12"/>
      <c r="C7" s="12"/>
      <c r="D7" s="20"/>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21" t="s">
        <v>1</v>
      </c>
      <c r="AU7" s="21" t="s">
        <v>2</v>
      </c>
      <c r="AV7" s="21" t="s">
        <v>3</v>
      </c>
      <c r="AW7" s="21" t="s">
        <v>4</v>
      </c>
      <c r="AX7" s="21" t="s">
        <v>5</v>
      </c>
      <c r="AY7" s="21" t="s">
        <v>6</v>
      </c>
      <c r="AZ7" s="21" t="s">
        <v>0</v>
      </c>
      <c r="BA7" s="21" t="s">
        <v>7</v>
      </c>
      <c r="BB7" s="21" t="s">
        <v>8</v>
      </c>
      <c r="BC7" s="7"/>
    </row>
    <row r="8" spans="1:55" s="23" customFormat="1" ht="18" customHeight="1" thickTop="1" thickBot="1" x14ac:dyDescent="0.2">
      <c r="A8" s="22"/>
      <c r="B8" s="58"/>
      <c r="C8" s="59"/>
      <c r="D8" s="59"/>
      <c r="E8" s="59"/>
      <c r="F8" s="59"/>
      <c r="G8" s="59"/>
      <c r="H8" s="59"/>
      <c r="I8" s="59"/>
      <c r="J8" s="59"/>
      <c r="K8" s="59"/>
      <c r="L8" s="59"/>
      <c r="M8" s="59"/>
      <c r="N8" s="59"/>
      <c r="O8" s="59"/>
      <c r="P8" s="59"/>
      <c r="Q8" s="59"/>
      <c r="R8" s="59"/>
      <c r="S8" s="59"/>
      <c r="T8" s="59"/>
      <c r="U8" s="59"/>
      <c r="V8" s="60"/>
      <c r="W8" s="57"/>
      <c r="X8" s="124"/>
      <c r="Y8" s="59"/>
      <c r="Z8" s="59"/>
      <c r="AA8" s="59"/>
      <c r="AB8" s="59"/>
      <c r="AC8" s="59"/>
      <c r="AD8" s="59"/>
      <c r="AE8" s="59"/>
      <c r="AF8" s="59"/>
      <c r="AG8" s="59"/>
      <c r="AH8" s="59"/>
      <c r="AI8" s="59"/>
      <c r="AJ8" s="59"/>
      <c r="AK8" s="59"/>
      <c r="AL8" s="59"/>
      <c r="AM8" s="59"/>
      <c r="AN8" s="59"/>
      <c r="AO8" s="59"/>
      <c r="AP8" s="59"/>
      <c r="AQ8" s="59"/>
      <c r="AR8" s="60"/>
      <c r="AT8" s="241"/>
      <c r="AU8" s="242"/>
      <c r="AV8" s="242"/>
      <c r="AW8" s="242"/>
      <c r="AX8" s="242"/>
      <c r="AY8" s="243"/>
      <c r="AZ8" s="244"/>
      <c r="BA8" s="244"/>
      <c r="BB8" s="245"/>
      <c r="BC8" s="24"/>
    </row>
    <row r="9" spans="1:55" s="25" customFormat="1" ht="18" customHeight="1" thickTop="1" thickBot="1" x14ac:dyDescent="0.2">
      <c r="A9" s="22"/>
      <c r="B9" s="105">
        <v>1</v>
      </c>
      <c r="C9" s="251" t="s">
        <v>108</v>
      </c>
      <c r="D9" s="224"/>
      <c r="E9" s="224"/>
      <c r="F9" s="224"/>
      <c r="G9" s="224"/>
      <c r="H9" s="224"/>
      <c r="I9" s="224"/>
      <c r="J9" s="224"/>
      <c r="K9" s="224"/>
      <c r="L9" s="224"/>
      <c r="M9" s="224"/>
      <c r="N9" s="224"/>
      <c r="O9" s="224"/>
      <c r="P9" s="224"/>
      <c r="Q9" s="224"/>
      <c r="R9" s="224"/>
      <c r="S9" s="61"/>
      <c r="T9" s="207">
        <f>SUM(T10:U20)</f>
        <v>10</v>
      </c>
      <c r="U9" s="208"/>
      <c r="V9" s="56"/>
      <c r="W9" s="57"/>
      <c r="X9" s="73" t="s">
        <v>69</v>
      </c>
      <c r="Y9" s="65"/>
      <c r="Z9" s="65"/>
      <c r="AA9" s="61"/>
      <c r="AB9" s="61"/>
      <c r="AC9" s="61"/>
      <c r="AD9" s="61"/>
      <c r="AE9" s="61"/>
      <c r="AF9" s="61"/>
      <c r="AG9" s="61"/>
      <c r="AH9" s="61"/>
      <c r="AI9" s="61"/>
      <c r="AJ9" s="61"/>
      <c r="AK9" s="61"/>
      <c r="AL9" s="61"/>
      <c r="AM9" s="61"/>
      <c r="AN9" s="61"/>
      <c r="AO9" s="61"/>
      <c r="AP9" s="207">
        <f>SUM(AP10:AQ17)</f>
        <v>10</v>
      </c>
      <c r="AQ9" s="208"/>
      <c r="AR9" s="56"/>
      <c r="AX9" s="26"/>
      <c r="AY9" s="26"/>
      <c r="AZ9" s="20"/>
      <c r="BA9" s="20"/>
      <c r="BB9" s="20"/>
      <c r="BC9" s="24"/>
    </row>
    <row r="10" spans="1:55" s="23" customFormat="1" ht="18" customHeight="1" thickTop="1" thickBot="1" x14ac:dyDescent="0.2">
      <c r="A10" s="22"/>
      <c r="B10" s="67"/>
      <c r="C10" s="68" t="s">
        <v>16</v>
      </c>
      <c r="D10" s="202" t="s">
        <v>15</v>
      </c>
      <c r="E10" s="204"/>
      <c r="F10" s="204"/>
      <c r="G10" s="204"/>
      <c r="H10" s="204"/>
      <c r="I10" s="204"/>
      <c r="J10" s="204"/>
      <c r="K10" s="204"/>
      <c r="L10" s="204"/>
      <c r="M10" s="204"/>
      <c r="N10" s="204"/>
      <c r="O10" s="204"/>
      <c r="P10" s="204"/>
      <c r="Q10" s="204"/>
      <c r="R10" s="204"/>
      <c r="S10" s="61"/>
      <c r="T10" s="205">
        <v>1</v>
      </c>
      <c r="U10" s="206"/>
      <c r="V10" s="56"/>
      <c r="W10" s="57"/>
      <c r="X10" s="67"/>
      <c r="Y10" s="68" t="s">
        <v>16</v>
      </c>
      <c r="Z10" s="202" t="s">
        <v>62</v>
      </c>
      <c r="AA10" s="204"/>
      <c r="AB10" s="204"/>
      <c r="AC10" s="204"/>
      <c r="AD10" s="204"/>
      <c r="AE10" s="204"/>
      <c r="AF10" s="204"/>
      <c r="AG10" s="204"/>
      <c r="AH10" s="204"/>
      <c r="AI10" s="204"/>
      <c r="AJ10" s="204"/>
      <c r="AK10" s="204"/>
      <c r="AL10" s="204"/>
      <c r="AM10" s="204"/>
      <c r="AN10" s="204"/>
      <c r="AO10" s="61"/>
      <c r="AP10" s="205">
        <v>2</v>
      </c>
      <c r="AQ10" s="206"/>
      <c r="AR10" s="56"/>
      <c r="AT10" s="246" t="s">
        <v>9</v>
      </c>
      <c r="AU10" s="247"/>
      <c r="AV10" s="247"/>
      <c r="AW10" s="248" t="s">
        <v>10</v>
      </c>
      <c r="AX10" s="249"/>
      <c r="AY10" s="249"/>
      <c r="AZ10" s="249"/>
      <c r="BA10" s="249"/>
      <c r="BB10" s="250"/>
      <c r="BC10" s="24"/>
    </row>
    <row r="11" spans="1:55" s="31" customFormat="1" ht="18" customHeight="1" thickTop="1" thickBot="1" x14ac:dyDescent="0.25">
      <c r="A11" s="22"/>
      <c r="B11" s="69"/>
      <c r="C11" s="68" t="s">
        <v>18</v>
      </c>
      <c r="D11" s="202" t="s">
        <v>17</v>
      </c>
      <c r="E11" s="204"/>
      <c r="F11" s="204"/>
      <c r="G11" s="204"/>
      <c r="H11" s="204"/>
      <c r="I11" s="204"/>
      <c r="J11" s="204"/>
      <c r="K11" s="204"/>
      <c r="L11" s="204"/>
      <c r="M11" s="204"/>
      <c r="N11" s="204"/>
      <c r="O11" s="204"/>
      <c r="P11" s="204"/>
      <c r="Q11" s="204"/>
      <c r="R11" s="204"/>
      <c r="S11" s="61"/>
      <c r="T11" s="205">
        <v>2</v>
      </c>
      <c r="U11" s="206"/>
      <c r="V11" s="56"/>
      <c r="W11" s="57"/>
      <c r="X11" s="69"/>
      <c r="Y11" s="68" t="s">
        <v>18</v>
      </c>
      <c r="Z11" s="202" t="s">
        <v>61</v>
      </c>
      <c r="AA11" s="204"/>
      <c r="AB11" s="204"/>
      <c r="AC11" s="204"/>
      <c r="AD11" s="204"/>
      <c r="AE11" s="204"/>
      <c r="AF11" s="204"/>
      <c r="AG11" s="204"/>
      <c r="AH11" s="204"/>
      <c r="AI11" s="204"/>
      <c r="AJ11" s="204"/>
      <c r="AK11" s="204"/>
      <c r="AL11" s="204"/>
      <c r="AM11" s="204"/>
      <c r="AN11" s="204"/>
      <c r="AO11" s="61"/>
      <c r="AP11" s="205">
        <v>1</v>
      </c>
      <c r="AQ11" s="206"/>
      <c r="AR11" s="56"/>
      <c r="AS11" s="29"/>
      <c r="AT11" s="29"/>
      <c r="AU11" s="29"/>
      <c r="AV11" s="29"/>
      <c r="AW11" s="29"/>
      <c r="AX11" s="29"/>
      <c r="BC11" s="24"/>
    </row>
    <row r="12" spans="1:55" s="31" customFormat="1" ht="18" customHeight="1" thickTop="1" x14ac:dyDescent="0.2">
      <c r="A12" s="22"/>
      <c r="B12" s="69"/>
      <c r="C12" s="68" t="s">
        <v>19</v>
      </c>
      <c r="D12" s="202" t="s">
        <v>25</v>
      </c>
      <c r="E12" s="204"/>
      <c r="F12" s="204"/>
      <c r="G12" s="204"/>
      <c r="H12" s="204"/>
      <c r="I12" s="204"/>
      <c r="J12" s="204"/>
      <c r="K12" s="204"/>
      <c r="L12" s="204"/>
      <c r="M12" s="204"/>
      <c r="N12" s="204"/>
      <c r="O12" s="204"/>
      <c r="P12" s="204"/>
      <c r="Q12" s="204"/>
      <c r="R12" s="204"/>
      <c r="S12" s="61"/>
      <c r="T12" s="205"/>
      <c r="U12" s="206"/>
      <c r="V12" s="56"/>
      <c r="W12" s="57"/>
      <c r="X12" s="69"/>
      <c r="Y12" s="68" t="s">
        <v>19</v>
      </c>
      <c r="Z12" s="202" t="s">
        <v>63</v>
      </c>
      <c r="AA12" s="204"/>
      <c r="AB12" s="204"/>
      <c r="AC12" s="204"/>
      <c r="AD12" s="204"/>
      <c r="AE12" s="204"/>
      <c r="AF12" s="204"/>
      <c r="AG12" s="204"/>
      <c r="AH12" s="204"/>
      <c r="AI12" s="204"/>
      <c r="AJ12" s="204"/>
      <c r="AK12" s="204"/>
      <c r="AL12" s="204"/>
      <c r="AM12" s="204"/>
      <c r="AN12" s="204"/>
      <c r="AO12" s="61"/>
      <c r="AP12" s="205"/>
      <c r="AQ12" s="206"/>
      <c r="AR12" s="56"/>
      <c r="AS12" s="20"/>
      <c r="AT12" s="229" t="s">
        <v>113</v>
      </c>
      <c r="AU12" s="230"/>
      <c r="AV12" s="230"/>
      <c r="AW12" s="230"/>
      <c r="AX12" s="230"/>
      <c r="AY12" s="230"/>
      <c r="AZ12" s="230"/>
      <c r="BA12" s="230"/>
      <c r="BB12" s="231"/>
      <c r="BC12" s="24"/>
    </row>
    <row r="13" spans="1:55" s="31" customFormat="1" ht="18" customHeight="1" x14ac:dyDescent="0.2">
      <c r="A13" s="22"/>
      <c r="B13" s="69"/>
      <c r="C13" s="68" t="s">
        <v>20</v>
      </c>
      <c r="D13" s="202" t="s">
        <v>26</v>
      </c>
      <c r="E13" s="203"/>
      <c r="F13" s="203"/>
      <c r="G13" s="203"/>
      <c r="H13" s="203"/>
      <c r="I13" s="203"/>
      <c r="J13" s="203"/>
      <c r="K13" s="203"/>
      <c r="L13" s="203"/>
      <c r="M13" s="203"/>
      <c r="N13" s="203"/>
      <c r="O13" s="203"/>
      <c r="P13" s="203"/>
      <c r="Q13" s="203"/>
      <c r="R13" s="204"/>
      <c r="S13" s="61"/>
      <c r="T13" s="205"/>
      <c r="U13" s="206"/>
      <c r="V13" s="56"/>
      <c r="W13" s="57"/>
      <c r="X13" s="69"/>
      <c r="Y13" s="68" t="s">
        <v>20</v>
      </c>
      <c r="Z13" s="202" t="s">
        <v>64</v>
      </c>
      <c r="AA13" s="204"/>
      <c r="AB13" s="204"/>
      <c r="AC13" s="204"/>
      <c r="AD13" s="204"/>
      <c r="AE13" s="204"/>
      <c r="AF13" s="204"/>
      <c r="AG13" s="204"/>
      <c r="AH13" s="204"/>
      <c r="AI13" s="204"/>
      <c r="AJ13" s="204"/>
      <c r="AK13" s="204"/>
      <c r="AL13" s="204"/>
      <c r="AM13" s="204"/>
      <c r="AN13" s="204"/>
      <c r="AO13" s="61"/>
      <c r="AP13" s="205">
        <v>1</v>
      </c>
      <c r="AQ13" s="206"/>
      <c r="AR13" s="56"/>
      <c r="AS13" s="33"/>
      <c r="AT13" s="274" t="s">
        <v>116</v>
      </c>
      <c r="AU13" s="233"/>
      <c r="AV13" s="233"/>
      <c r="AW13" s="233"/>
      <c r="AX13" s="233"/>
      <c r="AY13" s="233"/>
      <c r="AZ13" s="233"/>
      <c r="BA13" s="233"/>
      <c r="BB13" s="234"/>
      <c r="BC13" s="24"/>
    </row>
    <row r="14" spans="1:55" s="31" customFormat="1" ht="18" customHeight="1" x14ac:dyDescent="0.2">
      <c r="A14" s="22"/>
      <c r="B14" s="69"/>
      <c r="D14" s="203"/>
      <c r="E14" s="203"/>
      <c r="F14" s="203"/>
      <c r="G14" s="203"/>
      <c r="H14" s="203"/>
      <c r="I14" s="203"/>
      <c r="J14" s="203"/>
      <c r="K14" s="203"/>
      <c r="L14" s="203"/>
      <c r="M14" s="203"/>
      <c r="N14" s="203"/>
      <c r="O14" s="203"/>
      <c r="P14" s="203"/>
      <c r="Q14" s="203"/>
      <c r="R14" s="204"/>
      <c r="S14" s="61"/>
      <c r="T14" s="65"/>
      <c r="U14" s="65"/>
      <c r="V14" s="56"/>
      <c r="W14" s="57"/>
      <c r="X14" s="69"/>
      <c r="Y14" s="68" t="s">
        <v>21</v>
      </c>
      <c r="Z14" s="202" t="s">
        <v>65</v>
      </c>
      <c r="AA14" s="204"/>
      <c r="AB14" s="204"/>
      <c r="AC14" s="204"/>
      <c r="AD14" s="204"/>
      <c r="AE14" s="204"/>
      <c r="AF14" s="204"/>
      <c r="AG14" s="204"/>
      <c r="AH14" s="204"/>
      <c r="AI14" s="204"/>
      <c r="AJ14" s="204"/>
      <c r="AK14" s="204"/>
      <c r="AL14" s="204"/>
      <c r="AM14" s="204"/>
      <c r="AN14" s="204"/>
      <c r="AO14" s="61"/>
      <c r="AP14" s="205">
        <v>2</v>
      </c>
      <c r="AQ14" s="206"/>
      <c r="AR14" s="56"/>
      <c r="AS14" s="34"/>
      <c r="AT14" s="275"/>
      <c r="AU14" s="233"/>
      <c r="AV14" s="233"/>
      <c r="AW14" s="233"/>
      <c r="AX14" s="233"/>
      <c r="AY14" s="233"/>
      <c r="AZ14" s="233"/>
      <c r="BA14" s="233"/>
      <c r="BB14" s="234"/>
      <c r="BC14" s="24"/>
    </row>
    <row r="15" spans="1:55" s="31" customFormat="1" ht="18" customHeight="1" x14ac:dyDescent="0.2">
      <c r="A15" s="22"/>
      <c r="B15" s="69"/>
      <c r="C15" s="68" t="s">
        <v>21</v>
      </c>
      <c r="D15" s="202" t="s">
        <v>27</v>
      </c>
      <c r="E15" s="203"/>
      <c r="F15" s="203"/>
      <c r="G15" s="203"/>
      <c r="H15" s="203"/>
      <c r="I15" s="203"/>
      <c r="J15" s="203"/>
      <c r="K15" s="203"/>
      <c r="L15" s="203"/>
      <c r="M15" s="203"/>
      <c r="N15" s="203"/>
      <c r="O15" s="203"/>
      <c r="P15" s="203"/>
      <c r="Q15" s="203"/>
      <c r="R15" s="204"/>
      <c r="S15" s="61"/>
      <c r="T15" s="205"/>
      <c r="U15" s="206"/>
      <c r="V15" s="56"/>
      <c r="W15" s="57"/>
      <c r="X15" s="69"/>
      <c r="Y15" s="68" t="s">
        <v>22</v>
      </c>
      <c r="Z15" s="202" t="s">
        <v>66</v>
      </c>
      <c r="AA15" s="204"/>
      <c r="AB15" s="204"/>
      <c r="AC15" s="204"/>
      <c r="AD15" s="204"/>
      <c r="AE15" s="204"/>
      <c r="AF15" s="204"/>
      <c r="AG15" s="204"/>
      <c r="AH15" s="204"/>
      <c r="AI15" s="204"/>
      <c r="AJ15" s="204"/>
      <c r="AK15" s="204"/>
      <c r="AL15" s="204"/>
      <c r="AM15" s="204"/>
      <c r="AN15" s="204"/>
      <c r="AO15" s="61"/>
      <c r="AP15" s="205">
        <v>1</v>
      </c>
      <c r="AQ15" s="206"/>
      <c r="AR15" s="56"/>
      <c r="AS15" s="34"/>
      <c r="AT15" s="275"/>
      <c r="AU15" s="233"/>
      <c r="AV15" s="233"/>
      <c r="AW15" s="233"/>
      <c r="AX15" s="233"/>
      <c r="AY15" s="233"/>
      <c r="AZ15" s="233"/>
      <c r="BA15" s="233"/>
      <c r="BB15" s="234"/>
      <c r="BC15" s="24"/>
    </row>
    <row r="16" spans="1:55" s="31" customFormat="1" ht="18" customHeight="1" x14ac:dyDescent="0.2">
      <c r="A16" s="22"/>
      <c r="B16" s="69"/>
      <c r="D16" s="203"/>
      <c r="E16" s="203"/>
      <c r="F16" s="203"/>
      <c r="G16" s="203"/>
      <c r="H16" s="203"/>
      <c r="I16" s="203"/>
      <c r="J16" s="203"/>
      <c r="K16" s="203"/>
      <c r="L16" s="203"/>
      <c r="M16" s="203"/>
      <c r="N16" s="203"/>
      <c r="O16" s="203"/>
      <c r="P16" s="203"/>
      <c r="Q16" s="203"/>
      <c r="R16" s="204"/>
      <c r="S16" s="61"/>
      <c r="T16" s="65"/>
      <c r="U16" s="65"/>
      <c r="V16" s="56"/>
      <c r="W16" s="57"/>
      <c r="X16" s="69"/>
      <c r="Y16" s="68" t="s">
        <v>23</v>
      </c>
      <c r="Z16" s="202" t="s">
        <v>67</v>
      </c>
      <c r="AA16" s="204"/>
      <c r="AB16" s="204"/>
      <c r="AC16" s="204"/>
      <c r="AD16" s="204"/>
      <c r="AE16" s="204"/>
      <c r="AF16" s="204"/>
      <c r="AG16" s="204"/>
      <c r="AH16" s="204"/>
      <c r="AI16" s="204"/>
      <c r="AJ16" s="204"/>
      <c r="AK16" s="204"/>
      <c r="AL16" s="204"/>
      <c r="AM16" s="204"/>
      <c r="AN16" s="204"/>
      <c r="AO16" s="61"/>
      <c r="AP16" s="205"/>
      <c r="AQ16" s="206"/>
      <c r="AR16" s="56"/>
      <c r="AS16" s="34"/>
      <c r="AT16" s="275"/>
      <c r="AU16" s="233"/>
      <c r="AV16" s="233"/>
      <c r="AW16" s="233"/>
      <c r="AX16" s="233"/>
      <c r="AY16" s="233"/>
      <c r="AZ16" s="233"/>
      <c r="BA16" s="233"/>
      <c r="BB16" s="234"/>
      <c r="BC16" s="24"/>
    </row>
    <row r="17" spans="1:55" s="31" customFormat="1" ht="18" customHeight="1" x14ac:dyDescent="0.2">
      <c r="A17" s="22"/>
      <c r="B17" s="69"/>
      <c r="C17" s="68" t="s">
        <v>22</v>
      </c>
      <c r="D17" s="202" t="s">
        <v>28</v>
      </c>
      <c r="E17" s="203"/>
      <c r="F17" s="203"/>
      <c r="G17" s="203"/>
      <c r="H17" s="203"/>
      <c r="I17" s="203"/>
      <c r="J17" s="203"/>
      <c r="K17" s="203"/>
      <c r="L17" s="203"/>
      <c r="M17" s="203"/>
      <c r="N17" s="203"/>
      <c r="O17" s="203"/>
      <c r="P17" s="203"/>
      <c r="Q17" s="203"/>
      <c r="R17" s="204"/>
      <c r="S17" s="61"/>
      <c r="T17" s="205">
        <v>1</v>
      </c>
      <c r="U17" s="206"/>
      <c r="V17" s="56"/>
      <c r="W17" s="57"/>
      <c r="X17" s="69"/>
      <c r="Y17" s="68" t="s">
        <v>24</v>
      </c>
      <c r="Z17" s="202" t="s">
        <v>68</v>
      </c>
      <c r="AA17" s="204"/>
      <c r="AB17" s="204"/>
      <c r="AC17" s="204"/>
      <c r="AD17" s="204"/>
      <c r="AE17" s="204"/>
      <c r="AF17" s="204"/>
      <c r="AG17" s="204"/>
      <c r="AH17" s="204"/>
      <c r="AI17" s="204"/>
      <c r="AJ17" s="204"/>
      <c r="AK17" s="204"/>
      <c r="AL17" s="204"/>
      <c r="AM17" s="204"/>
      <c r="AN17" s="204"/>
      <c r="AO17" s="61"/>
      <c r="AP17" s="205">
        <v>3</v>
      </c>
      <c r="AQ17" s="206"/>
      <c r="AR17" s="56"/>
      <c r="AS17" s="34"/>
      <c r="AT17" s="275"/>
      <c r="AU17" s="233"/>
      <c r="AV17" s="233"/>
      <c r="AW17" s="233"/>
      <c r="AX17" s="233"/>
      <c r="AY17" s="233"/>
      <c r="AZ17" s="233"/>
      <c r="BA17" s="233"/>
      <c r="BB17" s="234"/>
      <c r="BC17" s="24"/>
    </row>
    <row r="18" spans="1:55" s="31" customFormat="1" ht="18" customHeight="1" x14ac:dyDescent="0.2">
      <c r="A18" s="22"/>
      <c r="B18" s="57"/>
      <c r="D18" s="203"/>
      <c r="E18" s="203"/>
      <c r="F18" s="203"/>
      <c r="G18" s="203"/>
      <c r="H18" s="203"/>
      <c r="I18" s="203"/>
      <c r="J18" s="203"/>
      <c r="K18" s="203"/>
      <c r="L18" s="203"/>
      <c r="M18" s="203"/>
      <c r="N18" s="203"/>
      <c r="O18" s="203"/>
      <c r="P18" s="203"/>
      <c r="Q18" s="203"/>
      <c r="R18" s="204"/>
      <c r="S18" s="61"/>
      <c r="T18" s="65"/>
      <c r="U18" s="65"/>
      <c r="V18" s="56"/>
      <c r="W18" s="57"/>
      <c r="X18" s="57"/>
      <c r="AO18" s="61"/>
      <c r="AR18" s="56"/>
      <c r="AS18" s="34">
        <v>0</v>
      </c>
      <c r="AT18" s="275"/>
      <c r="AU18" s="233"/>
      <c r="AV18" s="233"/>
      <c r="AW18" s="233"/>
      <c r="AX18" s="233"/>
      <c r="AY18" s="233"/>
      <c r="AZ18" s="233"/>
      <c r="BA18" s="233"/>
      <c r="BB18" s="234"/>
      <c r="BC18" s="24"/>
    </row>
    <row r="19" spans="1:55" s="31" customFormat="1" ht="18" customHeight="1" x14ac:dyDescent="0.2">
      <c r="A19" s="22"/>
      <c r="B19" s="57"/>
      <c r="C19" s="68" t="s">
        <v>23</v>
      </c>
      <c r="D19" s="202" t="s">
        <v>29</v>
      </c>
      <c r="E19" s="204"/>
      <c r="F19" s="204"/>
      <c r="G19" s="204"/>
      <c r="H19" s="204"/>
      <c r="I19" s="204"/>
      <c r="J19" s="204"/>
      <c r="K19" s="204"/>
      <c r="L19" s="204"/>
      <c r="M19" s="204"/>
      <c r="N19" s="204"/>
      <c r="O19" s="204"/>
      <c r="P19" s="204"/>
      <c r="Q19" s="204"/>
      <c r="R19" s="204"/>
      <c r="S19" s="61"/>
      <c r="T19" s="205">
        <v>2</v>
      </c>
      <c r="U19" s="206"/>
      <c r="V19" s="56"/>
      <c r="W19" s="57"/>
      <c r="X19" s="102">
        <v>6</v>
      </c>
      <c r="Y19" s="285" t="s">
        <v>106</v>
      </c>
      <c r="Z19" s="286"/>
      <c r="AA19" s="286"/>
      <c r="AB19" s="286"/>
      <c r="AC19" s="286"/>
      <c r="AD19" s="286"/>
      <c r="AE19" s="286"/>
      <c r="AF19" s="286"/>
      <c r="AG19" s="286"/>
      <c r="AH19" s="286"/>
      <c r="AI19" s="286"/>
      <c r="AJ19" s="286"/>
      <c r="AK19" s="286"/>
      <c r="AL19" s="286"/>
      <c r="AM19" s="286"/>
      <c r="AN19" s="286"/>
      <c r="AO19" s="125"/>
      <c r="AP19" s="207">
        <f>SUM(AP21:AQ33)</f>
        <v>10</v>
      </c>
      <c r="AQ19" s="208"/>
      <c r="AR19" s="56"/>
      <c r="AS19" s="122">
        <v>1</v>
      </c>
      <c r="AT19" s="275"/>
      <c r="AU19" s="233"/>
      <c r="AV19" s="233"/>
      <c r="AW19" s="233"/>
      <c r="AX19" s="233"/>
      <c r="AY19" s="233"/>
      <c r="AZ19" s="233"/>
      <c r="BA19" s="233"/>
      <c r="BB19" s="234"/>
      <c r="BC19" s="24"/>
    </row>
    <row r="20" spans="1:55" s="35" customFormat="1" ht="18" customHeight="1" x14ac:dyDescent="0.2">
      <c r="A20" s="22"/>
      <c r="B20" s="57"/>
      <c r="C20" s="68" t="s">
        <v>24</v>
      </c>
      <c r="D20" s="202" t="s">
        <v>30</v>
      </c>
      <c r="E20" s="203"/>
      <c r="F20" s="203"/>
      <c r="G20" s="203"/>
      <c r="H20" s="203"/>
      <c r="I20" s="203"/>
      <c r="J20" s="203"/>
      <c r="K20" s="203"/>
      <c r="L20" s="203"/>
      <c r="M20" s="203"/>
      <c r="N20" s="203"/>
      <c r="O20" s="203"/>
      <c r="P20" s="203"/>
      <c r="Q20" s="203"/>
      <c r="R20" s="204"/>
      <c r="S20" s="61"/>
      <c r="T20" s="205">
        <v>4</v>
      </c>
      <c r="U20" s="206"/>
      <c r="V20" s="56"/>
      <c r="W20" s="57"/>
      <c r="X20" s="103"/>
      <c r="Y20" s="286"/>
      <c r="Z20" s="286"/>
      <c r="AA20" s="286"/>
      <c r="AB20" s="286"/>
      <c r="AC20" s="286"/>
      <c r="AD20" s="286"/>
      <c r="AE20" s="286"/>
      <c r="AF20" s="286"/>
      <c r="AG20" s="286"/>
      <c r="AH20" s="286"/>
      <c r="AI20" s="286"/>
      <c r="AJ20" s="286"/>
      <c r="AK20" s="286"/>
      <c r="AL20" s="286"/>
      <c r="AM20" s="286"/>
      <c r="AN20" s="286"/>
      <c r="AO20" s="125"/>
      <c r="AR20" s="56"/>
      <c r="AS20" s="122">
        <v>2</v>
      </c>
      <c r="AT20" s="275"/>
      <c r="AU20" s="233"/>
      <c r="AV20" s="233"/>
      <c r="AW20" s="233"/>
      <c r="AX20" s="233"/>
      <c r="AY20" s="233"/>
      <c r="AZ20" s="233"/>
      <c r="BA20" s="233"/>
      <c r="BB20" s="234"/>
      <c r="BC20" s="24"/>
    </row>
    <row r="21" spans="1:55" s="35" customFormat="1" ht="18" customHeight="1" x14ac:dyDescent="0.2">
      <c r="A21" s="22"/>
      <c r="B21" s="57"/>
      <c r="C21" s="70"/>
      <c r="D21" s="203"/>
      <c r="E21" s="203"/>
      <c r="F21" s="203"/>
      <c r="G21" s="203"/>
      <c r="H21" s="203"/>
      <c r="I21" s="203"/>
      <c r="J21" s="203"/>
      <c r="K21" s="203"/>
      <c r="L21" s="203"/>
      <c r="M21" s="203"/>
      <c r="N21" s="203"/>
      <c r="O21" s="203"/>
      <c r="P21" s="203"/>
      <c r="Q21" s="203"/>
      <c r="R21" s="204"/>
      <c r="S21" s="61"/>
      <c r="T21" s="61"/>
      <c r="U21" s="61"/>
      <c r="V21" s="56"/>
      <c r="W21" s="57"/>
      <c r="X21" s="69"/>
      <c r="Y21" s="68" t="s">
        <v>16</v>
      </c>
      <c r="Z21" s="202" t="s">
        <v>70</v>
      </c>
      <c r="AA21" s="204"/>
      <c r="AB21" s="204"/>
      <c r="AC21" s="204"/>
      <c r="AD21" s="204"/>
      <c r="AE21" s="204"/>
      <c r="AF21" s="204"/>
      <c r="AG21" s="204"/>
      <c r="AH21" s="204"/>
      <c r="AI21" s="204"/>
      <c r="AJ21" s="204"/>
      <c r="AK21" s="204"/>
      <c r="AL21" s="204"/>
      <c r="AM21" s="204"/>
      <c r="AN21" s="204"/>
      <c r="AO21" s="61"/>
      <c r="AP21" s="205"/>
      <c r="AQ21" s="206"/>
      <c r="AR21" s="56"/>
      <c r="AS21" s="122">
        <v>3</v>
      </c>
      <c r="AT21" s="275"/>
      <c r="AU21" s="233"/>
      <c r="AV21" s="233"/>
      <c r="AW21" s="233"/>
      <c r="AX21" s="233"/>
      <c r="AY21" s="233"/>
      <c r="AZ21" s="233"/>
      <c r="BA21" s="233"/>
      <c r="BB21" s="234"/>
      <c r="BC21" s="24"/>
    </row>
    <row r="22" spans="1:55" s="35" customFormat="1" ht="18" customHeight="1" x14ac:dyDescent="0.2">
      <c r="A22" s="22"/>
      <c r="B22" s="71"/>
      <c r="V22" s="56"/>
      <c r="W22" s="57"/>
      <c r="X22" s="69"/>
      <c r="Z22" s="204"/>
      <c r="AA22" s="204"/>
      <c r="AB22" s="204"/>
      <c r="AC22" s="204"/>
      <c r="AD22" s="204"/>
      <c r="AE22" s="204"/>
      <c r="AF22" s="204"/>
      <c r="AG22" s="204"/>
      <c r="AH22" s="204"/>
      <c r="AI22" s="204"/>
      <c r="AJ22" s="204"/>
      <c r="AK22" s="204"/>
      <c r="AL22" s="204"/>
      <c r="AM22" s="204"/>
      <c r="AN22" s="204"/>
      <c r="AR22" s="56"/>
      <c r="AS22" s="122">
        <v>4</v>
      </c>
      <c r="AT22" s="275"/>
      <c r="AU22" s="233"/>
      <c r="AV22" s="233"/>
      <c r="AW22" s="233"/>
      <c r="AX22" s="233"/>
      <c r="AY22" s="233"/>
      <c r="AZ22" s="233"/>
      <c r="BA22" s="233"/>
      <c r="BB22" s="234"/>
      <c r="BC22" s="24"/>
    </row>
    <row r="23" spans="1:55" s="35" customFormat="1" ht="18" customHeight="1" x14ac:dyDescent="0.2">
      <c r="A23" s="22"/>
      <c r="B23" s="105">
        <v>2</v>
      </c>
      <c r="C23" s="254" t="s">
        <v>109</v>
      </c>
      <c r="D23" s="253"/>
      <c r="E23" s="253"/>
      <c r="F23" s="253"/>
      <c r="G23" s="253"/>
      <c r="H23" s="253"/>
      <c r="I23" s="253"/>
      <c r="J23" s="253"/>
      <c r="K23" s="253"/>
      <c r="L23" s="253"/>
      <c r="M23" s="253"/>
      <c r="N23" s="253"/>
      <c r="O23" s="253"/>
      <c r="P23" s="253"/>
      <c r="Q23" s="253"/>
      <c r="R23" s="253"/>
      <c r="S23" s="61"/>
      <c r="T23" s="207">
        <f>SUM(T24:U38)</f>
        <v>10</v>
      </c>
      <c r="U23" s="208"/>
      <c r="V23" s="56"/>
      <c r="W23" s="57"/>
      <c r="X23" s="69"/>
      <c r="Y23" s="68" t="s">
        <v>18</v>
      </c>
      <c r="Z23" s="202" t="s">
        <v>71</v>
      </c>
      <c r="AA23" s="204"/>
      <c r="AB23" s="204"/>
      <c r="AC23" s="204"/>
      <c r="AD23" s="204"/>
      <c r="AE23" s="204"/>
      <c r="AF23" s="204"/>
      <c r="AG23" s="204"/>
      <c r="AH23" s="204"/>
      <c r="AI23" s="204"/>
      <c r="AJ23" s="204"/>
      <c r="AK23" s="204"/>
      <c r="AL23" s="204"/>
      <c r="AM23" s="204"/>
      <c r="AN23" s="204"/>
      <c r="AP23" s="205">
        <v>1</v>
      </c>
      <c r="AQ23" s="206"/>
      <c r="AR23" s="56"/>
      <c r="AS23" s="122">
        <v>5</v>
      </c>
      <c r="AT23" s="275"/>
      <c r="AU23" s="233"/>
      <c r="AV23" s="233"/>
      <c r="AW23" s="233"/>
      <c r="AX23" s="233"/>
      <c r="AY23" s="233"/>
      <c r="AZ23" s="233"/>
      <c r="BA23" s="233"/>
      <c r="BB23" s="234"/>
      <c r="BC23" s="24"/>
    </row>
    <row r="24" spans="1:55" s="35" customFormat="1" ht="18" customHeight="1" thickBot="1" x14ac:dyDescent="0.25">
      <c r="A24" s="22"/>
      <c r="B24" s="67"/>
      <c r="C24" s="68" t="s">
        <v>16</v>
      </c>
      <c r="D24" s="202" t="s">
        <v>31</v>
      </c>
      <c r="E24" s="204"/>
      <c r="F24" s="204"/>
      <c r="G24" s="204"/>
      <c r="H24" s="204"/>
      <c r="I24" s="204"/>
      <c r="J24" s="204"/>
      <c r="K24" s="204"/>
      <c r="L24" s="204"/>
      <c r="M24" s="204"/>
      <c r="N24" s="204"/>
      <c r="O24" s="204"/>
      <c r="P24" s="204"/>
      <c r="Q24" s="204"/>
      <c r="R24" s="204"/>
      <c r="S24" s="61"/>
      <c r="T24" s="205">
        <v>1</v>
      </c>
      <c r="U24" s="206"/>
      <c r="V24" s="56"/>
      <c r="W24" s="57"/>
      <c r="X24" s="69"/>
      <c r="Z24" s="204"/>
      <c r="AA24" s="204"/>
      <c r="AB24" s="204"/>
      <c r="AC24" s="204"/>
      <c r="AD24" s="204"/>
      <c r="AE24" s="204"/>
      <c r="AF24" s="204"/>
      <c r="AG24" s="204"/>
      <c r="AH24" s="204"/>
      <c r="AI24" s="204"/>
      <c r="AJ24" s="204"/>
      <c r="AK24" s="204"/>
      <c r="AL24" s="204"/>
      <c r="AM24" s="204"/>
      <c r="AN24" s="204"/>
      <c r="AR24" s="56"/>
      <c r="AS24" s="122">
        <v>6</v>
      </c>
      <c r="AT24" s="276"/>
      <c r="AU24" s="277"/>
      <c r="AV24" s="277"/>
      <c r="AW24" s="277"/>
      <c r="AX24" s="277"/>
      <c r="AY24" s="277"/>
      <c r="AZ24" s="277"/>
      <c r="BA24" s="277"/>
      <c r="BB24" s="278"/>
      <c r="BC24" s="24"/>
    </row>
    <row r="25" spans="1:55" s="35" customFormat="1" ht="18" customHeight="1" thickTop="1" thickBot="1" x14ac:dyDescent="0.25">
      <c r="A25" s="22"/>
      <c r="B25" s="69"/>
      <c r="D25" s="204"/>
      <c r="E25" s="204"/>
      <c r="F25" s="204"/>
      <c r="G25" s="204"/>
      <c r="H25" s="204"/>
      <c r="I25" s="204"/>
      <c r="J25" s="204"/>
      <c r="K25" s="204"/>
      <c r="L25" s="204"/>
      <c r="M25" s="204"/>
      <c r="N25" s="204"/>
      <c r="O25" s="204"/>
      <c r="P25" s="204"/>
      <c r="Q25" s="204"/>
      <c r="R25" s="204"/>
      <c r="S25" s="61"/>
      <c r="V25" s="56"/>
      <c r="W25" s="57"/>
      <c r="X25" s="69"/>
      <c r="Y25" s="68" t="s">
        <v>19</v>
      </c>
      <c r="Z25" s="202" t="s">
        <v>72</v>
      </c>
      <c r="AA25" s="204"/>
      <c r="AB25" s="204"/>
      <c r="AC25" s="204"/>
      <c r="AD25" s="204"/>
      <c r="AE25" s="204"/>
      <c r="AF25" s="204"/>
      <c r="AG25" s="204"/>
      <c r="AH25" s="204"/>
      <c r="AI25" s="204"/>
      <c r="AJ25" s="204"/>
      <c r="AK25" s="204"/>
      <c r="AL25" s="204"/>
      <c r="AM25" s="204"/>
      <c r="AN25" s="204"/>
      <c r="AP25" s="205">
        <v>1</v>
      </c>
      <c r="AQ25" s="206"/>
      <c r="AR25" s="56"/>
      <c r="AS25" s="122">
        <v>7</v>
      </c>
      <c r="BC25" s="24"/>
    </row>
    <row r="26" spans="1:55" s="35" customFormat="1" ht="18" customHeight="1" thickTop="1" x14ac:dyDescent="0.2">
      <c r="A26" s="22"/>
      <c r="B26" s="69"/>
      <c r="C26" s="68" t="s">
        <v>18</v>
      </c>
      <c r="D26" s="202" t="s">
        <v>32</v>
      </c>
      <c r="E26" s="204"/>
      <c r="F26" s="204"/>
      <c r="G26" s="204"/>
      <c r="H26" s="204"/>
      <c r="I26" s="204"/>
      <c r="J26" s="204"/>
      <c r="K26" s="204"/>
      <c r="L26" s="204"/>
      <c r="M26" s="204"/>
      <c r="N26" s="204"/>
      <c r="O26" s="204"/>
      <c r="P26" s="204"/>
      <c r="Q26" s="204"/>
      <c r="R26" s="204"/>
      <c r="S26" s="61"/>
      <c r="T26" s="205">
        <v>3</v>
      </c>
      <c r="U26" s="206"/>
      <c r="V26" s="56"/>
      <c r="W26" s="57"/>
      <c r="X26" s="69"/>
      <c r="Z26" s="204"/>
      <c r="AA26" s="204"/>
      <c r="AB26" s="204"/>
      <c r="AC26" s="204"/>
      <c r="AD26" s="204"/>
      <c r="AE26" s="204"/>
      <c r="AF26" s="204"/>
      <c r="AG26" s="204"/>
      <c r="AH26" s="204"/>
      <c r="AI26" s="204"/>
      <c r="AJ26" s="204"/>
      <c r="AK26" s="204"/>
      <c r="AL26" s="204"/>
      <c r="AM26" s="204"/>
      <c r="AN26" s="204"/>
      <c r="AR26" s="56"/>
      <c r="AS26" s="122">
        <v>8</v>
      </c>
      <c r="AT26" s="238" t="s">
        <v>13</v>
      </c>
      <c r="AU26" s="239"/>
      <c r="AV26" s="239"/>
      <c r="AW26" s="239"/>
      <c r="AX26" s="239"/>
      <c r="AY26" s="239"/>
      <c r="AZ26" s="239"/>
      <c r="BA26" s="239"/>
      <c r="BB26" s="240"/>
      <c r="BC26" s="24"/>
    </row>
    <row r="27" spans="1:55" s="35" customFormat="1" ht="18" customHeight="1" x14ac:dyDescent="0.2">
      <c r="A27" s="22"/>
      <c r="B27" s="69"/>
      <c r="D27" s="204"/>
      <c r="E27" s="204"/>
      <c r="F27" s="204"/>
      <c r="G27" s="204"/>
      <c r="H27" s="204"/>
      <c r="I27" s="204"/>
      <c r="J27" s="204"/>
      <c r="K27" s="204"/>
      <c r="L27" s="204"/>
      <c r="M27" s="204"/>
      <c r="N27" s="204"/>
      <c r="O27" s="204"/>
      <c r="P27" s="204"/>
      <c r="Q27" s="204"/>
      <c r="R27" s="204"/>
      <c r="S27" s="61"/>
      <c r="V27" s="56"/>
      <c r="W27" s="57"/>
      <c r="X27" s="69"/>
      <c r="Y27" s="68" t="s">
        <v>20</v>
      </c>
      <c r="Z27" s="202" t="s">
        <v>73</v>
      </c>
      <c r="AA27" s="203"/>
      <c r="AB27" s="203"/>
      <c r="AC27" s="203"/>
      <c r="AD27" s="203"/>
      <c r="AE27" s="203"/>
      <c r="AF27" s="203"/>
      <c r="AG27" s="203"/>
      <c r="AH27" s="203"/>
      <c r="AI27" s="203"/>
      <c r="AJ27" s="203"/>
      <c r="AK27" s="203"/>
      <c r="AL27" s="203"/>
      <c r="AM27" s="203"/>
      <c r="AN27" s="204"/>
      <c r="AP27" s="205">
        <v>1</v>
      </c>
      <c r="AQ27" s="206"/>
      <c r="AR27" s="56"/>
      <c r="AS27" s="122">
        <v>9</v>
      </c>
      <c r="AT27" s="256" t="s">
        <v>212</v>
      </c>
      <c r="AU27" s="257"/>
      <c r="AV27" s="257"/>
      <c r="AW27" s="257"/>
      <c r="AX27" s="257"/>
      <c r="AY27" s="257"/>
      <c r="AZ27" s="257"/>
      <c r="BA27" s="257"/>
      <c r="BB27" s="258"/>
      <c r="BC27" s="24"/>
    </row>
    <row r="28" spans="1:55" s="35" customFormat="1" ht="18" customHeight="1" x14ac:dyDescent="0.2">
      <c r="A28" s="22"/>
      <c r="B28" s="69"/>
      <c r="C28" s="68" t="s">
        <v>19</v>
      </c>
      <c r="D28" s="202" t="s">
        <v>33</v>
      </c>
      <c r="E28" s="204"/>
      <c r="F28" s="204"/>
      <c r="G28" s="204"/>
      <c r="H28" s="204"/>
      <c r="I28" s="204"/>
      <c r="J28" s="204"/>
      <c r="K28" s="204"/>
      <c r="L28" s="204"/>
      <c r="M28" s="204"/>
      <c r="N28" s="204"/>
      <c r="O28" s="204"/>
      <c r="P28" s="204"/>
      <c r="Q28" s="204"/>
      <c r="R28" s="204"/>
      <c r="S28" s="61"/>
      <c r="T28" s="205"/>
      <c r="U28" s="206"/>
      <c r="V28" s="74"/>
      <c r="W28" s="57"/>
      <c r="X28" s="57"/>
      <c r="Y28" s="31"/>
      <c r="Z28" s="203"/>
      <c r="AA28" s="203"/>
      <c r="AB28" s="203"/>
      <c r="AC28" s="203"/>
      <c r="AD28" s="203"/>
      <c r="AE28" s="203"/>
      <c r="AF28" s="203"/>
      <c r="AG28" s="203"/>
      <c r="AH28" s="203"/>
      <c r="AI28" s="203"/>
      <c r="AJ28" s="203"/>
      <c r="AK28" s="203"/>
      <c r="AL28" s="203"/>
      <c r="AM28" s="203"/>
      <c r="AN28" s="204"/>
      <c r="AR28" s="56"/>
      <c r="AS28" s="122">
        <v>10</v>
      </c>
      <c r="AT28" s="259"/>
      <c r="AU28" s="257"/>
      <c r="AV28" s="257"/>
      <c r="AW28" s="257"/>
      <c r="AX28" s="257"/>
      <c r="AY28" s="257"/>
      <c r="AZ28" s="257"/>
      <c r="BA28" s="257"/>
      <c r="BB28" s="258"/>
      <c r="BC28" s="24"/>
    </row>
    <row r="29" spans="1:55" s="35" customFormat="1" ht="18" customHeight="1" x14ac:dyDescent="0.2">
      <c r="A29" s="22"/>
      <c r="B29" s="69"/>
      <c r="D29" s="204"/>
      <c r="E29" s="204"/>
      <c r="F29" s="204"/>
      <c r="G29" s="204"/>
      <c r="H29" s="204"/>
      <c r="I29" s="204"/>
      <c r="J29" s="204"/>
      <c r="K29" s="204"/>
      <c r="L29" s="204"/>
      <c r="M29" s="204"/>
      <c r="N29" s="204"/>
      <c r="O29" s="204"/>
      <c r="P29" s="204"/>
      <c r="Q29" s="204"/>
      <c r="R29" s="204"/>
      <c r="S29" s="61"/>
      <c r="V29" s="74"/>
      <c r="W29" s="57"/>
      <c r="X29" s="57"/>
      <c r="Y29" s="68" t="s">
        <v>21</v>
      </c>
      <c r="Z29" s="202" t="s">
        <v>74</v>
      </c>
      <c r="AA29" s="204"/>
      <c r="AB29" s="204"/>
      <c r="AC29" s="204"/>
      <c r="AD29" s="204"/>
      <c r="AE29" s="204"/>
      <c r="AF29" s="204"/>
      <c r="AG29" s="204"/>
      <c r="AH29" s="204"/>
      <c r="AI29" s="204"/>
      <c r="AJ29" s="204"/>
      <c r="AK29" s="204"/>
      <c r="AL29" s="204"/>
      <c r="AM29" s="204"/>
      <c r="AN29" s="204"/>
      <c r="AP29" s="205">
        <v>4</v>
      </c>
      <c r="AQ29" s="206"/>
      <c r="AR29" s="56"/>
      <c r="AS29" s="36"/>
      <c r="AT29" s="259"/>
      <c r="AU29" s="257"/>
      <c r="AV29" s="257"/>
      <c r="AW29" s="257"/>
      <c r="AX29" s="257"/>
      <c r="AY29" s="257"/>
      <c r="AZ29" s="257"/>
      <c r="BA29" s="257"/>
      <c r="BB29" s="258"/>
      <c r="BC29" s="24"/>
    </row>
    <row r="30" spans="1:55" s="35" customFormat="1" ht="18" customHeight="1" x14ac:dyDescent="0.2">
      <c r="A30" s="22"/>
      <c r="B30" s="69"/>
      <c r="C30" s="68" t="s">
        <v>20</v>
      </c>
      <c r="D30" s="202" t="s">
        <v>34</v>
      </c>
      <c r="E30" s="203"/>
      <c r="F30" s="203"/>
      <c r="G30" s="203"/>
      <c r="H30" s="203"/>
      <c r="I30" s="203"/>
      <c r="J30" s="203"/>
      <c r="K30" s="203"/>
      <c r="L30" s="203"/>
      <c r="M30" s="203"/>
      <c r="N30" s="203"/>
      <c r="O30" s="203"/>
      <c r="P30" s="203"/>
      <c r="Q30" s="203"/>
      <c r="R30" s="204"/>
      <c r="S30" s="61"/>
      <c r="T30" s="205">
        <v>2</v>
      </c>
      <c r="U30" s="206"/>
      <c r="V30" s="74"/>
      <c r="W30" s="57"/>
      <c r="X30" s="57"/>
      <c r="Y30" s="68" t="s">
        <v>22</v>
      </c>
      <c r="Z30" s="202" t="s">
        <v>75</v>
      </c>
      <c r="AA30" s="204"/>
      <c r="AB30" s="204"/>
      <c r="AC30" s="204"/>
      <c r="AD30" s="204"/>
      <c r="AE30" s="204"/>
      <c r="AF30" s="204"/>
      <c r="AG30" s="204"/>
      <c r="AH30" s="204"/>
      <c r="AI30" s="204"/>
      <c r="AJ30" s="204"/>
      <c r="AK30" s="204"/>
      <c r="AL30" s="204"/>
      <c r="AM30" s="204"/>
      <c r="AN30" s="204"/>
      <c r="AP30" s="205">
        <v>2</v>
      </c>
      <c r="AQ30" s="206"/>
      <c r="AR30" s="56"/>
      <c r="AS30" s="36"/>
      <c r="AT30" s="259"/>
      <c r="AU30" s="257"/>
      <c r="AV30" s="257"/>
      <c r="AW30" s="257"/>
      <c r="AX30" s="257"/>
      <c r="AY30" s="257"/>
      <c r="AZ30" s="257"/>
      <c r="BA30" s="257"/>
      <c r="BB30" s="258"/>
      <c r="BC30" s="24"/>
    </row>
    <row r="31" spans="1:55" s="35" customFormat="1" ht="18" customHeight="1" x14ac:dyDescent="0.2">
      <c r="A31" s="22"/>
      <c r="B31" s="69"/>
      <c r="C31" s="31"/>
      <c r="D31" s="203"/>
      <c r="E31" s="203"/>
      <c r="F31" s="203"/>
      <c r="G31" s="203"/>
      <c r="H31" s="203"/>
      <c r="I31" s="203"/>
      <c r="J31" s="203"/>
      <c r="K31" s="203"/>
      <c r="L31" s="203"/>
      <c r="M31" s="203"/>
      <c r="N31" s="203"/>
      <c r="O31" s="203"/>
      <c r="P31" s="203"/>
      <c r="Q31" s="203"/>
      <c r="R31" s="204"/>
      <c r="S31" s="61"/>
      <c r="V31" s="74"/>
      <c r="W31" s="57"/>
      <c r="X31" s="57"/>
      <c r="Y31" s="68" t="s">
        <v>23</v>
      </c>
      <c r="Z31" s="202" t="s">
        <v>76</v>
      </c>
      <c r="AA31" s="204"/>
      <c r="AB31" s="204"/>
      <c r="AC31" s="204"/>
      <c r="AD31" s="204"/>
      <c r="AE31" s="204"/>
      <c r="AF31" s="204"/>
      <c r="AG31" s="204"/>
      <c r="AH31" s="204"/>
      <c r="AI31" s="204"/>
      <c r="AJ31" s="204"/>
      <c r="AK31" s="204"/>
      <c r="AL31" s="204"/>
      <c r="AM31" s="204"/>
      <c r="AN31" s="204"/>
      <c r="AP31" s="205">
        <v>1</v>
      </c>
      <c r="AQ31" s="206"/>
      <c r="AR31" s="56"/>
      <c r="AS31" s="36"/>
      <c r="AT31" s="259"/>
      <c r="AU31" s="257"/>
      <c r="AV31" s="257"/>
      <c r="AW31" s="257"/>
      <c r="AX31" s="257"/>
      <c r="AY31" s="257"/>
      <c r="AZ31" s="257"/>
      <c r="BA31" s="257"/>
      <c r="BB31" s="258"/>
      <c r="BC31" s="24"/>
    </row>
    <row r="32" spans="1:55" s="37" customFormat="1" ht="18" customHeight="1" x14ac:dyDescent="0.2">
      <c r="A32" s="22"/>
      <c r="B32" s="57"/>
      <c r="C32" s="68" t="s">
        <v>21</v>
      </c>
      <c r="D32" s="202" t="s">
        <v>35</v>
      </c>
      <c r="E32" s="203"/>
      <c r="F32" s="203"/>
      <c r="G32" s="203"/>
      <c r="H32" s="203"/>
      <c r="I32" s="203"/>
      <c r="J32" s="203"/>
      <c r="K32" s="203"/>
      <c r="L32" s="203"/>
      <c r="M32" s="203"/>
      <c r="N32" s="203"/>
      <c r="O32" s="203"/>
      <c r="P32" s="203"/>
      <c r="Q32" s="203"/>
      <c r="R32" s="204"/>
      <c r="S32" s="61"/>
      <c r="T32" s="205">
        <v>1</v>
      </c>
      <c r="U32" s="206"/>
      <c r="V32" s="74"/>
      <c r="W32" s="57"/>
      <c r="X32" s="87"/>
      <c r="Y32" s="35"/>
      <c r="Z32" s="204"/>
      <c r="AA32" s="204"/>
      <c r="AB32" s="204"/>
      <c r="AC32" s="204"/>
      <c r="AD32" s="204"/>
      <c r="AE32" s="204"/>
      <c r="AF32" s="204"/>
      <c r="AG32" s="204"/>
      <c r="AH32" s="204"/>
      <c r="AI32" s="204"/>
      <c r="AJ32" s="204"/>
      <c r="AK32" s="204"/>
      <c r="AL32" s="204"/>
      <c r="AM32" s="204"/>
      <c r="AN32" s="204"/>
      <c r="AO32" s="35"/>
      <c r="AP32" s="35"/>
      <c r="AQ32" s="35"/>
      <c r="AR32" s="56"/>
      <c r="AS32" s="36"/>
      <c r="AT32" s="259"/>
      <c r="AU32" s="257"/>
      <c r="AV32" s="257"/>
      <c r="AW32" s="257"/>
      <c r="AX32" s="257"/>
      <c r="AY32" s="257"/>
      <c r="AZ32" s="257"/>
      <c r="BA32" s="257"/>
      <c r="BB32" s="258"/>
      <c r="BC32" s="24"/>
    </row>
    <row r="33" spans="1:55" s="37" customFormat="1" ht="18" customHeight="1" x14ac:dyDescent="0.2">
      <c r="A33" s="22"/>
      <c r="B33" s="57"/>
      <c r="C33" s="31"/>
      <c r="D33" s="203"/>
      <c r="E33" s="203"/>
      <c r="F33" s="203"/>
      <c r="G33" s="203"/>
      <c r="H33" s="203"/>
      <c r="I33" s="203"/>
      <c r="J33" s="203"/>
      <c r="K33" s="203"/>
      <c r="L33" s="203"/>
      <c r="M33" s="203"/>
      <c r="N33" s="203"/>
      <c r="O33" s="203"/>
      <c r="P33" s="203"/>
      <c r="Q33" s="203"/>
      <c r="R33" s="204"/>
      <c r="S33" s="61"/>
      <c r="V33" s="74"/>
      <c r="W33" s="57"/>
      <c r="X33" s="87"/>
      <c r="Y33" s="68" t="s">
        <v>24</v>
      </c>
      <c r="Z33" s="202" t="s">
        <v>77</v>
      </c>
      <c r="AA33" s="203"/>
      <c r="AB33" s="203"/>
      <c r="AC33" s="203"/>
      <c r="AD33" s="203"/>
      <c r="AE33" s="203"/>
      <c r="AF33" s="203"/>
      <c r="AG33" s="203"/>
      <c r="AH33" s="203"/>
      <c r="AI33" s="203"/>
      <c r="AJ33" s="203"/>
      <c r="AK33" s="203"/>
      <c r="AL33" s="203"/>
      <c r="AM33" s="203"/>
      <c r="AN33" s="204"/>
      <c r="AO33" s="61"/>
      <c r="AP33" s="205"/>
      <c r="AQ33" s="206"/>
      <c r="AR33" s="56"/>
      <c r="AS33" s="38"/>
      <c r="AT33" s="259"/>
      <c r="AU33" s="257"/>
      <c r="AV33" s="257"/>
      <c r="AW33" s="257"/>
      <c r="AX33" s="257"/>
      <c r="AY33" s="257"/>
      <c r="AZ33" s="257"/>
      <c r="BA33" s="257"/>
      <c r="BB33" s="258"/>
      <c r="BC33" s="24"/>
    </row>
    <row r="34" spans="1:55" s="37" customFormat="1" ht="18" customHeight="1" x14ac:dyDescent="0.2">
      <c r="A34" s="22"/>
      <c r="B34" s="57"/>
      <c r="C34" s="68" t="s">
        <v>22</v>
      </c>
      <c r="D34" s="202" t="s">
        <v>36</v>
      </c>
      <c r="E34" s="203"/>
      <c r="F34" s="203"/>
      <c r="G34" s="203"/>
      <c r="H34" s="203"/>
      <c r="I34" s="203"/>
      <c r="J34" s="203"/>
      <c r="K34" s="203"/>
      <c r="L34" s="203"/>
      <c r="M34" s="203"/>
      <c r="N34" s="203"/>
      <c r="O34" s="203"/>
      <c r="P34" s="203"/>
      <c r="Q34" s="203"/>
      <c r="R34" s="204"/>
      <c r="S34" s="61"/>
      <c r="T34" s="205">
        <v>3</v>
      </c>
      <c r="U34" s="206"/>
      <c r="V34" s="74"/>
      <c r="W34" s="57"/>
      <c r="X34" s="87"/>
      <c r="Y34" s="70"/>
      <c r="Z34" s="203"/>
      <c r="AA34" s="203"/>
      <c r="AB34" s="203"/>
      <c r="AC34" s="203"/>
      <c r="AD34" s="203"/>
      <c r="AE34" s="203"/>
      <c r="AF34" s="203"/>
      <c r="AG34" s="203"/>
      <c r="AH34" s="203"/>
      <c r="AI34" s="203"/>
      <c r="AJ34" s="203"/>
      <c r="AK34" s="203"/>
      <c r="AL34" s="203"/>
      <c r="AM34" s="203"/>
      <c r="AN34" s="204"/>
      <c r="AO34" s="61"/>
      <c r="AR34" s="56"/>
      <c r="AS34" s="38"/>
      <c r="AT34" s="259"/>
      <c r="AU34" s="257"/>
      <c r="AV34" s="257"/>
      <c r="AW34" s="257"/>
      <c r="AX34" s="257"/>
      <c r="AY34" s="257"/>
      <c r="AZ34" s="257"/>
      <c r="BA34" s="257"/>
      <c r="BB34" s="258"/>
      <c r="BC34" s="24"/>
    </row>
    <row r="35" spans="1:55" s="37" customFormat="1" ht="18" customHeight="1" thickBot="1" x14ac:dyDescent="0.25">
      <c r="A35" s="22"/>
      <c r="B35" s="57"/>
      <c r="C35" s="31"/>
      <c r="D35" s="203"/>
      <c r="E35" s="203"/>
      <c r="F35" s="203"/>
      <c r="G35" s="203"/>
      <c r="H35" s="203"/>
      <c r="I35" s="203"/>
      <c r="J35" s="203"/>
      <c r="K35" s="203"/>
      <c r="L35" s="203"/>
      <c r="M35" s="203"/>
      <c r="N35" s="203"/>
      <c r="O35" s="203"/>
      <c r="P35" s="203"/>
      <c r="Q35" s="203"/>
      <c r="R35" s="204"/>
      <c r="S35" s="61"/>
      <c r="T35" s="61"/>
      <c r="U35" s="61"/>
      <c r="V35" s="74"/>
      <c r="W35" s="57"/>
      <c r="X35" s="87"/>
      <c r="AR35" s="126"/>
      <c r="AS35" s="38"/>
      <c r="AT35" s="260"/>
      <c r="AU35" s="261"/>
      <c r="AV35" s="261"/>
      <c r="AW35" s="261"/>
      <c r="AX35" s="261"/>
      <c r="AY35" s="261"/>
      <c r="AZ35" s="261"/>
      <c r="BA35" s="261"/>
      <c r="BB35" s="262"/>
      <c r="BC35" s="24"/>
    </row>
    <row r="36" spans="1:55" s="37" customFormat="1" ht="18" customHeight="1" thickTop="1" thickBot="1" x14ac:dyDescent="0.25">
      <c r="A36" s="22"/>
      <c r="B36" s="57"/>
      <c r="C36" s="68" t="s">
        <v>23</v>
      </c>
      <c r="D36" s="202" t="s">
        <v>37</v>
      </c>
      <c r="E36" s="204"/>
      <c r="F36" s="204"/>
      <c r="G36" s="204"/>
      <c r="H36" s="204"/>
      <c r="I36" s="204"/>
      <c r="J36" s="204"/>
      <c r="K36" s="204"/>
      <c r="L36" s="204"/>
      <c r="M36" s="204"/>
      <c r="N36" s="204"/>
      <c r="O36" s="204"/>
      <c r="P36" s="204"/>
      <c r="Q36" s="204"/>
      <c r="R36" s="204"/>
      <c r="S36" s="61"/>
      <c r="T36" s="205"/>
      <c r="U36" s="206"/>
      <c r="V36" s="56"/>
      <c r="W36" s="57"/>
      <c r="X36" s="105">
        <v>7</v>
      </c>
      <c r="Y36" s="251" t="s">
        <v>107</v>
      </c>
      <c r="Z36" s="204"/>
      <c r="AA36" s="204"/>
      <c r="AB36" s="204"/>
      <c r="AC36" s="204"/>
      <c r="AD36" s="204"/>
      <c r="AE36" s="204"/>
      <c r="AF36" s="204"/>
      <c r="AG36" s="204"/>
      <c r="AH36" s="204"/>
      <c r="AI36" s="204"/>
      <c r="AJ36" s="204"/>
      <c r="AK36" s="204"/>
      <c r="AL36" s="204"/>
      <c r="AM36" s="204"/>
      <c r="AN36" s="204"/>
      <c r="AP36" s="207">
        <f>SUM(AP38:AQ50)</f>
        <v>10</v>
      </c>
      <c r="AQ36" s="208"/>
      <c r="AR36" s="126"/>
      <c r="AS36" s="36"/>
      <c r="BC36" s="24"/>
    </row>
    <row r="37" spans="1:55" s="37" customFormat="1" ht="18" customHeight="1" thickTop="1" x14ac:dyDescent="0.2">
      <c r="A37" s="22"/>
      <c r="B37" s="57"/>
      <c r="C37" s="61"/>
      <c r="D37" s="204"/>
      <c r="E37" s="204"/>
      <c r="F37" s="204"/>
      <c r="G37" s="204"/>
      <c r="H37" s="204"/>
      <c r="I37" s="204"/>
      <c r="J37" s="204"/>
      <c r="K37" s="204"/>
      <c r="L37" s="204"/>
      <c r="M37" s="204"/>
      <c r="N37" s="204"/>
      <c r="O37" s="204"/>
      <c r="P37" s="204"/>
      <c r="Q37" s="204"/>
      <c r="R37" s="204"/>
      <c r="S37" s="61"/>
      <c r="T37" s="61"/>
      <c r="U37" s="61"/>
      <c r="V37" s="56"/>
      <c r="W37" s="57"/>
      <c r="X37" s="87"/>
      <c r="Y37" s="204"/>
      <c r="Z37" s="204"/>
      <c r="AA37" s="204"/>
      <c r="AB37" s="204"/>
      <c r="AC37" s="204"/>
      <c r="AD37" s="204"/>
      <c r="AE37" s="204"/>
      <c r="AF37" s="204"/>
      <c r="AG37" s="204"/>
      <c r="AH37" s="204"/>
      <c r="AI37" s="204"/>
      <c r="AJ37" s="204"/>
      <c r="AK37" s="204"/>
      <c r="AL37" s="204"/>
      <c r="AM37" s="204"/>
      <c r="AN37" s="204"/>
      <c r="AR37" s="126"/>
      <c r="AS37" s="36"/>
      <c r="AT37" s="229" t="s">
        <v>47</v>
      </c>
      <c r="AU37" s="230"/>
      <c r="AV37" s="230"/>
      <c r="AW37" s="230"/>
      <c r="AX37" s="230"/>
      <c r="AY37" s="230"/>
      <c r="AZ37" s="230"/>
      <c r="BA37" s="230"/>
      <c r="BB37" s="231"/>
      <c r="BC37" s="24"/>
    </row>
    <row r="38" spans="1:55" s="37" customFormat="1" ht="18" customHeight="1" x14ac:dyDescent="0.2">
      <c r="A38" s="22"/>
      <c r="B38" s="57"/>
      <c r="C38" s="68" t="s">
        <v>24</v>
      </c>
      <c r="D38" s="202" t="s">
        <v>38</v>
      </c>
      <c r="E38" s="203"/>
      <c r="F38" s="203"/>
      <c r="G38" s="203"/>
      <c r="H38" s="203"/>
      <c r="I38" s="203"/>
      <c r="J38" s="203"/>
      <c r="K38" s="203"/>
      <c r="L38" s="203"/>
      <c r="M38" s="203"/>
      <c r="N38" s="203"/>
      <c r="O38" s="203"/>
      <c r="P38" s="203"/>
      <c r="Q38" s="203"/>
      <c r="R38" s="204"/>
      <c r="S38" s="61"/>
      <c r="T38" s="205"/>
      <c r="U38" s="206"/>
      <c r="V38" s="56"/>
      <c r="W38" s="57"/>
      <c r="X38" s="87"/>
      <c r="Y38" s="68" t="s">
        <v>16</v>
      </c>
      <c r="Z38" s="202" t="s">
        <v>78</v>
      </c>
      <c r="AA38" s="204"/>
      <c r="AB38" s="204"/>
      <c r="AC38" s="204"/>
      <c r="AD38" s="204"/>
      <c r="AE38" s="204"/>
      <c r="AF38" s="204"/>
      <c r="AG38" s="204"/>
      <c r="AH38" s="204"/>
      <c r="AI38" s="204"/>
      <c r="AJ38" s="204"/>
      <c r="AK38" s="204"/>
      <c r="AL38" s="204"/>
      <c r="AM38" s="204"/>
      <c r="AN38" s="204"/>
      <c r="AO38" s="61"/>
      <c r="AP38" s="205">
        <v>2</v>
      </c>
      <c r="AQ38" s="206"/>
      <c r="AR38" s="56"/>
      <c r="AS38" s="36"/>
      <c r="AT38" s="152"/>
      <c r="AU38" s="207">
        <v>10</v>
      </c>
      <c r="AV38" s="208"/>
      <c r="AW38" s="232" t="s">
        <v>48</v>
      </c>
      <c r="AX38" s="233"/>
      <c r="AY38" s="233"/>
      <c r="AZ38" s="233"/>
      <c r="BA38" s="233"/>
      <c r="BB38" s="234"/>
      <c r="BC38" s="24"/>
    </row>
    <row r="39" spans="1:55" s="37" customFormat="1" ht="18" customHeight="1" x14ac:dyDescent="0.2">
      <c r="A39" s="22"/>
      <c r="B39" s="57"/>
      <c r="C39" s="70"/>
      <c r="D39" s="203"/>
      <c r="E39" s="203"/>
      <c r="F39" s="203"/>
      <c r="G39" s="203"/>
      <c r="H39" s="203"/>
      <c r="I39" s="203"/>
      <c r="J39" s="203"/>
      <c r="K39" s="203"/>
      <c r="L39" s="203"/>
      <c r="M39" s="203"/>
      <c r="N39" s="203"/>
      <c r="O39" s="203"/>
      <c r="P39" s="203"/>
      <c r="Q39" s="203"/>
      <c r="R39" s="204"/>
      <c r="S39" s="61"/>
      <c r="T39" s="61"/>
      <c r="U39" s="61"/>
      <c r="V39" s="56"/>
      <c r="W39" s="57"/>
      <c r="X39" s="87"/>
      <c r="Y39" s="35"/>
      <c r="Z39" s="204"/>
      <c r="AA39" s="204"/>
      <c r="AB39" s="204"/>
      <c r="AC39" s="204"/>
      <c r="AD39" s="204"/>
      <c r="AE39" s="204"/>
      <c r="AF39" s="204"/>
      <c r="AG39" s="204"/>
      <c r="AH39" s="204"/>
      <c r="AI39" s="204"/>
      <c r="AJ39" s="204"/>
      <c r="AK39" s="204"/>
      <c r="AL39" s="204"/>
      <c r="AM39" s="204"/>
      <c r="AN39" s="204"/>
      <c r="AO39" s="35"/>
      <c r="AP39" s="35"/>
      <c r="AQ39" s="35"/>
      <c r="AR39" s="56"/>
      <c r="AS39" s="39"/>
      <c r="AT39" s="152"/>
      <c r="AU39" s="153"/>
      <c r="AV39" s="153"/>
      <c r="AW39" s="233"/>
      <c r="AX39" s="233"/>
      <c r="AY39" s="233"/>
      <c r="AZ39" s="233"/>
      <c r="BA39" s="233"/>
      <c r="BB39" s="234"/>
      <c r="BC39" s="40"/>
    </row>
    <row r="40" spans="1:55" s="37" customFormat="1" ht="18" customHeight="1" x14ac:dyDescent="0.2">
      <c r="A40" s="22"/>
      <c r="B40" s="57"/>
      <c r="C40" s="61"/>
      <c r="D40" s="61"/>
      <c r="E40" s="61"/>
      <c r="F40" s="61"/>
      <c r="G40" s="61"/>
      <c r="H40" s="61"/>
      <c r="I40" s="61"/>
      <c r="J40" s="61"/>
      <c r="K40" s="61"/>
      <c r="L40" s="61"/>
      <c r="M40" s="61"/>
      <c r="N40" s="61"/>
      <c r="O40" s="61"/>
      <c r="P40" s="61"/>
      <c r="Q40" s="61"/>
      <c r="R40" s="61"/>
      <c r="S40" s="61"/>
      <c r="T40" s="61"/>
      <c r="U40" s="61"/>
      <c r="V40" s="56"/>
      <c r="W40" s="57"/>
      <c r="X40" s="87"/>
      <c r="Y40" s="68" t="s">
        <v>18</v>
      </c>
      <c r="Z40" s="202" t="s">
        <v>79</v>
      </c>
      <c r="AA40" s="204"/>
      <c r="AB40" s="204"/>
      <c r="AC40" s="204"/>
      <c r="AD40" s="204"/>
      <c r="AE40" s="204"/>
      <c r="AF40" s="204"/>
      <c r="AG40" s="204"/>
      <c r="AH40" s="204"/>
      <c r="AI40" s="204"/>
      <c r="AJ40" s="204"/>
      <c r="AK40" s="204"/>
      <c r="AL40" s="204"/>
      <c r="AM40" s="204"/>
      <c r="AN40" s="204"/>
      <c r="AO40" s="35"/>
      <c r="AP40" s="205">
        <v>5</v>
      </c>
      <c r="AQ40" s="206"/>
      <c r="AR40" s="56"/>
      <c r="AS40" s="39"/>
      <c r="AT40" s="152"/>
      <c r="AU40" s="207">
        <v>11</v>
      </c>
      <c r="AV40" s="208"/>
      <c r="AW40" s="232" t="s">
        <v>49</v>
      </c>
      <c r="AX40" s="233"/>
      <c r="AY40" s="233"/>
      <c r="AZ40" s="233"/>
      <c r="BA40" s="233"/>
      <c r="BB40" s="234"/>
      <c r="BC40" s="40"/>
    </row>
    <row r="41" spans="1:55" s="37" customFormat="1" ht="18" customHeight="1" x14ac:dyDescent="0.2">
      <c r="A41" s="22"/>
      <c r="B41" s="104">
        <v>3</v>
      </c>
      <c r="C41" s="252" t="s">
        <v>110</v>
      </c>
      <c r="D41" s="253"/>
      <c r="E41" s="253"/>
      <c r="F41" s="253"/>
      <c r="G41" s="253"/>
      <c r="H41" s="253"/>
      <c r="I41" s="253"/>
      <c r="J41" s="253"/>
      <c r="K41" s="253"/>
      <c r="L41" s="253"/>
      <c r="M41" s="253"/>
      <c r="N41" s="253"/>
      <c r="O41" s="253"/>
      <c r="P41" s="253"/>
      <c r="Q41" s="253"/>
      <c r="R41" s="253"/>
      <c r="S41" s="61"/>
      <c r="T41" s="207">
        <f>SUM(T42:U52)</f>
        <v>10</v>
      </c>
      <c r="U41" s="208"/>
      <c r="V41" s="56"/>
      <c r="W41" s="57"/>
      <c r="X41" s="87"/>
      <c r="Y41" s="35"/>
      <c r="Z41" s="204"/>
      <c r="AA41" s="204"/>
      <c r="AB41" s="204"/>
      <c r="AC41" s="204"/>
      <c r="AD41" s="204"/>
      <c r="AE41" s="204"/>
      <c r="AF41" s="204"/>
      <c r="AG41" s="204"/>
      <c r="AH41" s="204"/>
      <c r="AI41" s="204"/>
      <c r="AJ41" s="204"/>
      <c r="AK41" s="204"/>
      <c r="AL41" s="204"/>
      <c r="AM41" s="204"/>
      <c r="AN41" s="204"/>
      <c r="AO41" s="35"/>
      <c r="AP41" s="35"/>
      <c r="AQ41" s="35"/>
      <c r="AR41" s="56"/>
      <c r="AS41" s="39"/>
      <c r="AT41" s="152"/>
      <c r="AW41" s="233"/>
      <c r="AX41" s="233"/>
      <c r="AY41" s="233"/>
      <c r="AZ41" s="233"/>
      <c r="BA41" s="233"/>
      <c r="BB41" s="234"/>
      <c r="BC41" s="40"/>
    </row>
    <row r="42" spans="1:55" s="37" customFormat="1" ht="18" customHeight="1" x14ac:dyDescent="0.2">
      <c r="A42" s="22"/>
      <c r="B42" s="67"/>
      <c r="C42" s="68" t="s">
        <v>16</v>
      </c>
      <c r="D42" s="202" t="s">
        <v>39</v>
      </c>
      <c r="E42" s="204"/>
      <c r="F42" s="204"/>
      <c r="G42" s="204"/>
      <c r="H42" s="204"/>
      <c r="I42" s="204"/>
      <c r="J42" s="204"/>
      <c r="K42" s="204"/>
      <c r="L42" s="204"/>
      <c r="M42" s="204"/>
      <c r="N42" s="204"/>
      <c r="O42" s="204"/>
      <c r="P42" s="204"/>
      <c r="Q42" s="204"/>
      <c r="R42" s="204"/>
      <c r="S42" s="61"/>
      <c r="T42" s="205"/>
      <c r="U42" s="206"/>
      <c r="V42" s="56"/>
      <c r="W42" s="57"/>
      <c r="X42" s="87"/>
      <c r="Y42" s="68" t="s">
        <v>19</v>
      </c>
      <c r="Z42" s="202" t="s">
        <v>80</v>
      </c>
      <c r="AA42" s="204"/>
      <c r="AB42" s="204"/>
      <c r="AC42" s="204"/>
      <c r="AD42" s="204"/>
      <c r="AE42" s="204"/>
      <c r="AF42" s="204"/>
      <c r="AG42" s="204"/>
      <c r="AH42" s="204"/>
      <c r="AI42" s="204"/>
      <c r="AJ42" s="204"/>
      <c r="AK42" s="204"/>
      <c r="AL42" s="204"/>
      <c r="AM42" s="204"/>
      <c r="AN42" s="204"/>
      <c r="AO42" s="35"/>
      <c r="AP42" s="205"/>
      <c r="AQ42" s="206"/>
      <c r="AR42" s="56"/>
      <c r="AS42" s="39"/>
      <c r="AT42" s="152"/>
      <c r="AU42" s="153"/>
      <c r="AV42" s="153"/>
      <c r="AW42" s="233"/>
      <c r="AX42" s="233"/>
      <c r="AY42" s="233"/>
      <c r="AZ42" s="233"/>
      <c r="BA42" s="233"/>
      <c r="BB42" s="234"/>
      <c r="BC42" s="40"/>
    </row>
    <row r="43" spans="1:55" s="37" customFormat="1" ht="18" customHeight="1" x14ac:dyDescent="0.2">
      <c r="A43" s="22"/>
      <c r="B43" s="69"/>
      <c r="C43" s="68" t="s">
        <v>18</v>
      </c>
      <c r="D43" s="202" t="s">
        <v>40</v>
      </c>
      <c r="E43" s="204"/>
      <c r="F43" s="204"/>
      <c r="G43" s="204"/>
      <c r="H43" s="204"/>
      <c r="I43" s="204"/>
      <c r="J43" s="204"/>
      <c r="K43" s="204"/>
      <c r="L43" s="204"/>
      <c r="M43" s="204"/>
      <c r="N43" s="204"/>
      <c r="O43" s="204"/>
      <c r="P43" s="204"/>
      <c r="Q43" s="204"/>
      <c r="R43" s="204"/>
      <c r="S43" s="61"/>
      <c r="T43" s="205">
        <v>2</v>
      </c>
      <c r="U43" s="206"/>
      <c r="V43" s="56"/>
      <c r="W43" s="57"/>
      <c r="X43" s="87"/>
      <c r="Y43" s="35"/>
      <c r="Z43" s="204"/>
      <c r="AA43" s="204"/>
      <c r="AB43" s="204"/>
      <c r="AC43" s="204"/>
      <c r="AD43" s="204"/>
      <c r="AE43" s="204"/>
      <c r="AF43" s="204"/>
      <c r="AG43" s="204"/>
      <c r="AH43" s="204"/>
      <c r="AI43" s="204"/>
      <c r="AJ43" s="204"/>
      <c r="AK43" s="204"/>
      <c r="AL43" s="204"/>
      <c r="AM43" s="204"/>
      <c r="AN43" s="204"/>
      <c r="AO43" s="35"/>
      <c r="AP43" s="35"/>
      <c r="AQ43" s="35"/>
      <c r="AR43" s="56"/>
      <c r="AS43" s="39"/>
      <c r="AT43" s="152"/>
      <c r="AU43" s="207">
        <v>9</v>
      </c>
      <c r="AV43" s="208"/>
      <c r="AW43" s="232" t="s">
        <v>50</v>
      </c>
      <c r="AX43" s="233"/>
      <c r="AY43" s="233"/>
      <c r="AZ43" s="233"/>
      <c r="BA43" s="233"/>
      <c r="BB43" s="234"/>
      <c r="BC43" s="40"/>
    </row>
    <row r="44" spans="1:55" s="37" customFormat="1" ht="18" customHeight="1" x14ac:dyDescent="0.2">
      <c r="A44" s="22"/>
      <c r="B44" s="69"/>
      <c r="C44" s="31"/>
      <c r="D44" s="204"/>
      <c r="E44" s="204"/>
      <c r="F44" s="204"/>
      <c r="G44" s="204"/>
      <c r="H44" s="204"/>
      <c r="I44" s="204"/>
      <c r="J44" s="204"/>
      <c r="K44" s="204"/>
      <c r="L44" s="204"/>
      <c r="M44" s="204"/>
      <c r="N44" s="204"/>
      <c r="O44" s="204"/>
      <c r="P44" s="204"/>
      <c r="Q44" s="204"/>
      <c r="R44" s="204"/>
      <c r="S44" s="61"/>
      <c r="T44" s="31"/>
      <c r="U44" s="31"/>
      <c r="V44" s="56"/>
      <c r="W44" s="57"/>
      <c r="X44" s="87"/>
      <c r="Y44" s="68" t="s">
        <v>20</v>
      </c>
      <c r="Z44" s="202" t="s">
        <v>81</v>
      </c>
      <c r="AA44" s="203"/>
      <c r="AB44" s="203"/>
      <c r="AC44" s="203"/>
      <c r="AD44" s="203"/>
      <c r="AE44" s="203"/>
      <c r="AF44" s="203"/>
      <c r="AG44" s="203"/>
      <c r="AH44" s="203"/>
      <c r="AI44" s="203"/>
      <c r="AJ44" s="203"/>
      <c r="AK44" s="203"/>
      <c r="AL44" s="203"/>
      <c r="AM44" s="203"/>
      <c r="AN44" s="204"/>
      <c r="AO44" s="35"/>
      <c r="AP44" s="205"/>
      <c r="AQ44" s="206"/>
      <c r="AR44" s="56"/>
      <c r="AS44" s="39"/>
      <c r="AT44" s="87"/>
      <c r="AU44" s="153"/>
      <c r="AV44" s="153"/>
      <c r="AW44" s="233"/>
      <c r="AX44" s="233"/>
      <c r="AY44" s="233"/>
      <c r="AZ44" s="233"/>
      <c r="BA44" s="233"/>
      <c r="BB44" s="234"/>
      <c r="BC44" s="40"/>
    </row>
    <row r="45" spans="1:55" s="37" customFormat="1" ht="18" customHeight="1" thickBot="1" x14ac:dyDescent="0.25">
      <c r="A45" s="22"/>
      <c r="B45" s="69"/>
      <c r="C45" s="68" t="s">
        <v>19</v>
      </c>
      <c r="D45" s="202" t="s">
        <v>41</v>
      </c>
      <c r="E45" s="204"/>
      <c r="F45" s="204"/>
      <c r="G45" s="204"/>
      <c r="H45" s="204"/>
      <c r="I45" s="204"/>
      <c r="J45" s="204"/>
      <c r="K45" s="204"/>
      <c r="L45" s="204"/>
      <c r="M45" s="204"/>
      <c r="N45" s="204"/>
      <c r="O45" s="204"/>
      <c r="P45" s="204"/>
      <c r="Q45" s="204"/>
      <c r="R45" s="204"/>
      <c r="S45" s="61"/>
      <c r="T45" s="205">
        <v>1</v>
      </c>
      <c r="U45" s="206"/>
      <c r="V45" s="56"/>
      <c r="W45" s="57"/>
      <c r="X45" s="87"/>
      <c r="Y45" s="31"/>
      <c r="Z45" s="203"/>
      <c r="AA45" s="203"/>
      <c r="AB45" s="203"/>
      <c r="AC45" s="203"/>
      <c r="AD45" s="203"/>
      <c r="AE45" s="203"/>
      <c r="AF45" s="203"/>
      <c r="AG45" s="203"/>
      <c r="AH45" s="203"/>
      <c r="AI45" s="203"/>
      <c r="AJ45" s="203"/>
      <c r="AK45" s="203"/>
      <c r="AL45" s="203"/>
      <c r="AM45" s="203"/>
      <c r="AN45" s="204"/>
      <c r="AO45" s="35"/>
      <c r="AP45" s="35"/>
      <c r="AQ45" s="35"/>
      <c r="AR45" s="56"/>
      <c r="AS45" s="39"/>
      <c r="AT45" s="235" t="s">
        <v>129</v>
      </c>
      <c r="AU45" s="236"/>
      <c r="AV45" s="236"/>
      <c r="AW45" s="236"/>
      <c r="AX45" s="236"/>
      <c r="AY45" s="236"/>
      <c r="AZ45" s="236"/>
      <c r="BA45" s="236"/>
      <c r="BB45" s="237"/>
      <c r="BC45" s="40"/>
    </row>
    <row r="46" spans="1:55" s="37" customFormat="1" ht="18" customHeight="1" thickTop="1" thickBot="1" x14ac:dyDescent="0.25">
      <c r="A46" s="22"/>
      <c r="B46" s="69"/>
      <c r="C46" s="31"/>
      <c r="D46" s="204"/>
      <c r="E46" s="204"/>
      <c r="F46" s="204"/>
      <c r="G46" s="204"/>
      <c r="H46" s="204"/>
      <c r="I46" s="204"/>
      <c r="J46" s="204"/>
      <c r="K46" s="204"/>
      <c r="L46" s="204"/>
      <c r="M46" s="204"/>
      <c r="N46" s="204"/>
      <c r="O46" s="204"/>
      <c r="P46" s="204"/>
      <c r="Q46" s="204"/>
      <c r="R46" s="204"/>
      <c r="S46" s="61"/>
      <c r="T46" s="31"/>
      <c r="U46" s="31"/>
      <c r="V46" s="56"/>
      <c r="W46" s="57"/>
      <c r="X46" s="87"/>
      <c r="Y46" s="68" t="s">
        <v>21</v>
      </c>
      <c r="Z46" s="202" t="s">
        <v>82</v>
      </c>
      <c r="AA46" s="204"/>
      <c r="AB46" s="204"/>
      <c r="AC46" s="204"/>
      <c r="AD46" s="204"/>
      <c r="AE46" s="204"/>
      <c r="AF46" s="204"/>
      <c r="AG46" s="204"/>
      <c r="AH46" s="204"/>
      <c r="AI46" s="204"/>
      <c r="AJ46" s="204"/>
      <c r="AK46" s="204"/>
      <c r="AL46" s="204"/>
      <c r="AM46" s="204"/>
      <c r="AN46" s="204"/>
      <c r="AO46" s="35"/>
      <c r="AP46" s="205"/>
      <c r="AQ46" s="206"/>
      <c r="AR46" s="56"/>
      <c r="AS46" s="39"/>
      <c r="AT46" s="123"/>
      <c r="AU46" s="123"/>
      <c r="AV46" s="123"/>
      <c r="AW46" s="123"/>
      <c r="AX46" s="123"/>
      <c r="AY46" s="123"/>
      <c r="AZ46" s="123"/>
      <c r="BA46" s="123"/>
      <c r="BB46" s="123"/>
      <c r="BC46" s="40"/>
    </row>
    <row r="47" spans="1:55" s="37" customFormat="1" ht="18" customHeight="1" thickTop="1" x14ac:dyDescent="0.2">
      <c r="A47" s="22"/>
      <c r="B47" s="69"/>
      <c r="C47" s="68" t="s">
        <v>20</v>
      </c>
      <c r="D47" s="202" t="s">
        <v>42</v>
      </c>
      <c r="E47" s="204"/>
      <c r="F47" s="204"/>
      <c r="G47" s="204"/>
      <c r="H47" s="204"/>
      <c r="I47" s="204"/>
      <c r="J47" s="204"/>
      <c r="K47" s="204"/>
      <c r="L47" s="204"/>
      <c r="M47" s="204"/>
      <c r="N47" s="204"/>
      <c r="O47" s="204"/>
      <c r="P47" s="204"/>
      <c r="Q47" s="204"/>
      <c r="R47" s="204"/>
      <c r="S47" s="61"/>
      <c r="T47" s="205">
        <v>1</v>
      </c>
      <c r="U47" s="206"/>
      <c r="V47" s="56"/>
      <c r="W47" s="57"/>
      <c r="X47" s="87"/>
      <c r="Y47" s="68" t="s">
        <v>22</v>
      </c>
      <c r="Z47" s="202" t="s">
        <v>83</v>
      </c>
      <c r="AA47" s="204"/>
      <c r="AB47" s="204"/>
      <c r="AC47" s="204"/>
      <c r="AD47" s="204"/>
      <c r="AE47" s="204"/>
      <c r="AF47" s="204"/>
      <c r="AG47" s="204"/>
      <c r="AH47" s="204"/>
      <c r="AI47" s="204"/>
      <c r="AJ47" s="204"/>
      <c r="AK47" s="204"/>
      <c r="AL47" s="204"/>
      <c r="AM47" s="204"/>
      <c r="AN47" s="204"/>
      <c r="AO47" s="35"/>
      <c r="AP47" s="205"/>
      <c r="AQ47" s="206"/>
      <c r="AR47" s="56"/>
      <c r="AS47" s="39"/>
      <c r="AT47" s="229" t="s">
        <v>11</v>
      </c>
      <c r="AU47" s="230"/>
      <c r="AV47" s="230"/>
      <c r="AW47" s="230"/>
      <c r="AX47" s="230"/>
      <c r="AY47" s="230"/>
      <c r="AZ47" s="230"/>
      <c r="BA47" s="230"/>
      <c r="BB47" s="231"/>
      <c r="BC47" s="40"/>
    </row>
    <row r="48" spans="1:55" s="37" customFormat="1" ht="18" customHeight="1" x14ac:dyDescent="0.2">
      <c r="A48" s="22"/>
      <c r="B48" s="69"/>
      <c r="C48" s="68" t="s">
        <v>21</v>
      </c>
      <c r="D48" s="202" t="s">
        <v>43</v>
      </c>
      <c r="E48" s="204"/>
      <c r="F48" s="204"/>
      <c r="G48" s="204"/>
      <c r="H48" s="204"/>
      <c r="I48" s="204"/>
      <c r="J48" s="204"/>
      <c r="K48" s="204"/>
      <c r="L48" s="204"/>
      <c r="M48" s="204"/>
      <c r="N48" s="204"/>
      <c r="O48" s="204"/>
      <c r="P48" s="204"/>
      <c r="Q48" s="204"/>
      <c r="R48" s="204"/>
      <c r="S48" s="61"/>
      <c r="T48" s="205">
        <v>2</v>
      </c>
      <c r="U48" s="206"/>
      <c r="V48" s="56"/>
      <c r="W48" s="57"/>
      <c r="X48" s="87"/>
      <c r="Z48" s="204"/>
      <c r="AA48" s="204"/>
      <c r="AB48" s="204"/>
      <c r="AC48" s="204"/>
      <c r="AD48" s="204"/>
      <c r="AE48" s="204"/>
      <c r="AF48" s="204"/>
      <c r="AG48" s="204"/>
      <c r="AH48" s="204"/>
      <c r="AI48" s="204"/>
      <c r="AJ48" s="204"/>
      <c r="AK48" s="204"/>
      <c r="AL48" s="204"/>
      <c r="AM48" s="204"/>
      <c r="AN48" s="204"/>
      <c r="AR48" s="56"/>
      <c r="AS48" s="39"/>
      <c r="AT48" s="282" t="s">
        <v>117</v>
      </c>
      <c r="AU48" s="283"/>
      <c r="AV48" s="283"/>
      <c r="AW48" s="283"/>
      <c r="AX48" s="283"/>
      <c r="AY48" s="145"/>
      <c r="AZ48" s="145"/>
      <c r="BA48" s="51"/>
      <c r="BB48" s="52"/>
      <c r="BC48" s="40"/>
    </row>
    <row r="49" spans="1:55" s="37" customFormat="1" ht="18" customHeight="1" x14ac:dyDescent="0.2">
      <c r="A49" s="22"/>
      <c r="B49" s="69"/>
      <c r="C49" s="68" t="s">
        <v>22</v>
      </c>
      <c r="D49" s="202" t="s">
        <v>44</v>
      </c>
      <c r="E49" s="204"/>
      <c r="F49" s="204"/>
      <c r="G49" s="204"/>
      <c r="H49" s="204"/>
      <c r="I49" s="204"/>
      <c r="J49" s="204"/>
      <c r="K49" s="204"/>
      <c r="L49" s="204"/>
      <c r="M49" s="204"/>
      <c r="N49" s="204"/>
      <c r="O49" s="204"/>
      <c r="P49" s="204"/>
      <c r="Q49" s="204"/>
      <c r="R49" s="204"/>
      <c r="S49" s="61"/>
      <c r="T49" s="205">
        <v>2</v>
      </c>
      <c r="U49" s="206"/>
      <c r="V49" s="56"/>
      <c r="W49" s="57"/>
      <c r="X49" s="87"/>
      <c r="Y49" s="68" t="s">
        <v>23</v>
      </c>
      <c r="Z49" s="202" t="s">
        <v>84</v>
      </c>
      <c r="AA49" s="204"/>
      <c r="AB49" s="204"/>
      <c r="AC49" s="204"/>
      <c r="AD49" s="204"/>
      <c r="AE49" s="204"/>
      <c r="AF49" s="204"/>
      <c r="AG49" s="204"/>
      <c r="AH49" s="204"/>
      <c r="AI49" s="204"/>
      <c r="AJ49" s="204"/>
      <c r="AK49" s="204"/>
      <c r="AL49" s="204"/>
      <c r="AM49" s="204"/>
      <c r="AN49" s="204"/>
      <c r="AO49" s="35"/>
      <c r="AP49" s="205"/>
      <c r="AQ49" s="206"/>
      <c r="AR49" s="56"/>
      <c r="AS49" s="39"/>
      <c r="AT49" s="284"/>
      <c r="AU49" s="283"/>
      <c r="AV49" s="283"/>
      <c r="AW49" s="283"/>
      <c r="AX49" s="283"/>
      <c r="AY49" s="146"/>
      <c r="AZ49" s="146"/>
      <c r="BA49" s="51"/>
      <c r="BB49" s="52"/>
      <c r="BC49" s="40"/>
    </row>
    <row r="50" spans="1:55" s="37" customFormat="1" ht="18" customHeight="1" x14ac:dyDescent="0.2">
      <c r="A50" s="22"/>
      <c r="B50" s="57"/>
      <c r="C50" s="68" t="s">
        <v>23</v>
      </c>
      <c r="D50" s="202" t="s">
        <v>45</v>
      </c>
      <c r="E50" s="204"/>
      <c r="F50" s="204"/>
      <c r="G50" s="204"/>
      <c r="H50" s="204"/>
      <c r="I50" s="204"/>
      <c r="J50" s="204"/>
      <c r="K50" s="204"/>
      <c r="L50" s="204"/>
      <c r="M50" s="204"/>
      <c r="N50" s="204"/>
      <c r="O50" s="204"/>
      <c r="P50" s="204"/>
      <c r="Q50" s="204"/>
      <c r="R50" s="204"/>
      <c r="S50" s="61"/>
      <c r="T50" s="205">
        <v>1</v>
      </c>
      <c r="U50" s="206"/>
      <c r="V50" s="56"/>
      <c r="W50" s="57"/>
      <c r="X50" s="87"/>
      <c r="Y50" s="68" t="s">
        <v>24</v>
      </c>
      <c r="Z50" s="202" t="s">
        <v>85</v>
      </c>
      <c r="AA50" s="203"/>
      <c r="AB50" s="203"/>
      <c r="AC50" s="203"/>
      <c r="AD50" s="203"/>
      <c r="AE50" s="203"/>
      <c r="AF50" s="203"/>
      <c r="AG50" s="203"/>
      <c r="AH50" s="203"/>
      <c r="AI50" s="203"/>
      <c r="AJ50" s="203"/>
      <c r="AK50" s="203"/>
      <c r="AL50" s="203"/>
      <c r="AM50" s="203"/>
      <c r="AN50" s="204"/>
      <c r="AO50" s="61"/>
      <c r="AP50" s="205">
        <v>3</v>
      </c>
      <c r="AQ50" s="206"/>
      <c r="AR50" s="56"/>
      <c r="AS50" s="39"/>
      <c r="AT50" s="284"/>
      <c r="AU50" s="283"/>
      <c r="AV50" s="283"/>
      <c r="AW50" s="283"/>
      <c r="AX50" s="283"/>
      <c r="AY50" s="146"/>
      <c r="AZ50" s="146"/>
      <c r="BA50" s="51"/>
      <c r="BB50" s="52"/>
      <c r="BC50" s="40"/>
    </row>
    <row r="51" spans="1:55" s="37" customFormat="1" ht="18" customHeight="1" x14ac:dyDescent="0.2">
      <c r="A51" s="22"/>
      <c r="B51" s="57"/>
      <c r="C51" s="31"/>
      <c r="D51" s="204"/>
      <c r="E51" s="204"/>
      <c r="F51" s="204"/>
      <c r="G51" s="204"/>
      <c r="H51" s="204"/>
      <c r="I51" s="204"/>
      <c r="J51" s="204"/>
      <c r="K51" s="204"/>
      <c r="L51" s="204"/>
      <c r="M51" s="204"/>
      <c r="N51" s="204"/>
      <c r="O51" s="204"/>
      <c r="P51" s="204"/>
      <c r="Q51" s="204"/>
      <c r="R51" s="204"/>
      <c r="S51" s="61"/>
      <c r="T51" s="31"/>
      <c r="U51" s="31"/>
      <c r="V51" s="56"/>
      <c r="W51" s="57"/>
      <c r="X51" s="57"/>
      <c r="Y51" s="70"/>
      <c r="Z51" s="203"/>
      <c r="AA51" s="203"/>
      <c r="AB51" s="203"/>
      <c r="AC51" s="203"/>
      <c r="AD51" s="203"/>
      <c r="AE51" s="203"/>
      <c r="AF51" s="203"/>
      <c r="AG51" s="203"/>
      <c r="AH51" s="203"/>
      <c r="AI51" s="203"/>
      <c r="AJ51" s="203"/>
      <c r="AK51" s="203"/>
      <c r="AL51" s="203"/>
      <c r="AM51" s="203"/>
      <c r="AN51" s="204"/>
      <c r="AO51" s="61"/>
      <c r="AR51" s="56"/>
      <c r="AS51" s="39"/>
      <c r="AT51" s="284"/>
      <c r="AU51" s="283"/>
      <c r="AV51" s="283"/>
      <c r="AW51" s="283"/>
      <c r="AX51" s="283"/>
      <c r="AY51" s="145"/>
      <c r="AZ51" s="145"/>
      <c r="BA51" s="51"/>
      <c r="BB51" s="52"/>
      <c r="BC51" s="40"/>
    </row>
    <row r="52" spans="1:55" s="37" customFormat="1" ht="18" customHeight="1" thickBot="1" x14ac:dyDescent="0.25">
      <c r="A52" s="22"/>
      <c r="B52" s="57"/>
      <c r="C52" s="68" t="s">
        <v>24</v>
      </c>
      <c r="D52" s="202" t="s">
        <v>46</v>
      </c>
      <c r="E52" s="204"/>
      <c r="F52" s="204"/>
      <c r="G52" s="204"/>
      <c r="H52" s="204"/>
      <c r="I52" s="204"/>
      <c r="J52" s="204"/>
      <c r="K52" s="204"/>
      <c r="L52" s="204"/>
      <c r="M52" s="204"/>
      <c r="N52" s="204"/>
      <c r="O52" s="204"/>
      <c r="P52" s="204"/>
      <c r="Q52" s="204"/>
      <c r="R52" s="204"/>
      <c r="S52" s="61"/>
      <c r="T52" s="205">
        <v>1</v>
      </c>
      <c r="U52" s="206"/>
      <c r="V52" s="56"/>
      <c r="W52" s="57"/>
      <c r="X52" s="88"/>
      <c r="Y52" s="127"/>
      <c r="Z52" s="127"/>
      <c r="AA52" s="127"/>
      <c r="AB52" s="127"/>
      <c r="AC52" s="127"/>
      <c r="AD52" s="127"/>
      <c r="AE52" s="127"/>
      <c r="AF52" s="127"/>
      <c r="AG52" s="127"/>
      <c r="AH52" s="127"/>
      <c r="AI52" s="127"/>
      <c r="AJ52" s="127"/>
      <c r="AK52" s="127"/>
      <c r="AL52" s="127"/>
      <c r="AM52" s="127"/>
      <c r="AN52" s="127"/>
      <c r="AO52" s="127"/>
      <c r="AP52" s="127"/>
      <c r="AQ52" s="127"/>
      <c r="AR52" s="128"/>
      <c r="AS52" s="39"/>
      <c r="AT52" s="50"/>
      <c r="AU52" s="280" t="s">
        <v>12</v>
      </c>
      <c r="AV52" s="281"/>
      <c r="AW52" s="281"/>
      <c r="AX52" s="281"/>
      <c r="AY52" s="281"/>
      <c r="AZ52" s="281"/>
      <c r="BA52" s="281"/>
      <c r="BB52" s="52"/>
      <c r="BC52" s="40"/>
    </row>
    <row r="53" spans="1:55" s="37" customFormat="1" ht="18" customHeight="1" thickTop="1" thickBot="1" x14ac:dyDescent="0.25">
      <c r="A53" s="22"/>
      <c r="B53" s="57"/>
      <c r="C53" s="61"/>
      <c r="D53" s="61"/>
      <c r="E53" s="61"/>
      <c r="F53" s="61"/>
      <c r="G53" s="61"/>
      <c r="H53" s="61"/>
      <c r="I53" s="61"/>
      <c r="J53" s="61"/>
      <c r="K53" s="61"/>
      <c r="L53" s="61"/>
      <c r="M53" s="61"/>
      <c r="N53" s="61"/>
      <c r="O53" s="61"/>
      <c r="P53" s="61"/>
      <c r="Q53" s="61"/>
      <c r="R53" s="61"/>
      <c r="S53" s="61"/>
      <c r="T53" s="61"/>
      <c r="U53" s="61"/>
      <c r="V53" s="56"/>
      <c r="W53" s="57"/>
      <c r="X53" s="129"/>
      <c r="Y53" s="129"/>
      <c r="Z53" s="129"/>
      <c r="AA53" s="129"/>
      <c r="AB53" s="129"/>
      <c r="AC53" s="129"/>
      <c r="AD53" s="129"/>
      <c r="AE53" s="129"/>
      <c r="AF53" s="129"/>
      <c r="AG53" s="129"/>
      <c r="AH53" s="129"/>
      <c r="AI53" s="129"/>
      <c r="AJ53" s="129"/>
      <c r="AK53" s="129"/>
      <c r="AL53" s="129"/>
      <c r="AM53" s="129"/>
      <c r="AN53" s="129"/>
      <c r="AO53" s="129"/>
      <c r="AP53" s="129"/>
      <c r="AQ53" s="129"/>
      <c r="AR53" s="129"/>
      <c r="AS53" s="39"/>
      <c r="AT53" s="50"/>
      <c r="AU53" s="281"/>
      <c r="AV53" s="281"/>
      <c r="AW53" s="281"/>
      <c r="AX53" s="281"/>
      <c r="AY53" s="281"/>
      <c r="AZ53" s="281"/>
      <c r="BA53" s="281"/>
      <c r="BB53" s="52"/>
      <c r="BC53" s="40"/>
    </row>
    <row r="54" spans="1:55" s="37" customFormat="1" ht="18" customHeight="1" thickTop="1" thickBot="1" x14ac:dyDescent="0.25">
      <c r="A54" s="22"/>
      <c r="B54" s="105">
        <v>4</v>
      </c>
      <c r="C54" s="252" t="s">
        <v>111</v>
      </c>
      <c r="D54" s="255"/>
      <c r="E54" s="255"/>
      <c r="F54" s="255"/>
      <c r="G54" s="255"/>
      <c r="H54" s="255"/>
      <c r="I54" s="255"/>
      <c r="J54" s="255"/>
      <c r="K54" s="255"/>
      <c r="L54" s="255"/>
      <c r="M54" s="255"/>
      <c r="N54" s="255"/>
      <c r="O54" s="255"/>
      <c r="P54" s="255"/>
      <c r="Q54" s="255"/>
      <c r="R54" s="255"/>
      <c r="S54" s="61"/>
      <c r="T54" s="207">
        <f>SUM(T55:U65)</f>
        <v>10</v>
      </c>
      <c r="U54" s="208"/>
      <c r="V54" s="56"/>
      <c r="W54" s="66"/>
      <c r="X54" s="130" t="s">
        <v>112</v>
      </c>
      <c r="Y54" s="129"/>
      <c r="Z54" s="129"/>
      <c r="AA54" s="129"/>
      <c r="AB54" s="129"/>
      <c r="AC54" s="129"/>
      <c r="AD54" s="129"/>
      <c r="AE54" s="129"/>
      <c r="AF54" s="129"/>
      <c r="AG54" s="129"/>
      <c r="AH54" s="129"/>
      <c r="AI54" s="129"/>
      <c r="AJ54" s="129"/>
      <c r="AK54" s="129"/>
      <c r="AL54" s="129"/>
      <c r="AM54" s="129"/>
      <c r="AN54" s="129"/>
      <c r="AO54" s="129"/>
      <c r="AP54" s="129"/>
      <c r="AQ54" s="129"/>
      <c r="AR54" s="131"/>
      <c r="AS54" s="39"/>
      <c r="AT54" s="53"/>
      <c r="AU54" s="54"/>
      <c r="AV54" s="54"/>
      <c r="AW54" s="54"/>
      <c r="AX54" s="54"/>
      <c r="AY54" s="54"/>
      <c r="AZ54" s="54"/>
      <c r="BA54" s="54"/>
      <c r="BB54" s="55"/>
      <c r="BC54" s="40"/>
    </row>
    <row r="55" spans="1:55" s="37" customFormat="1" ht="18" customHeight="1" thickTop="1" thickBot="1" x14ac:dyDescent="0.25">
      <c r="A55" s="22"/>
      <c r="B55" s="67"/>
      <c r="C55" s="68" t="s">
        <v>16</v>
      </c>
      <c r="D55" s="202" t="s">
        <v>51</v>
      </c>
      <c r="E55" s="204"/>
      <c r="F55" s="204"/>
      <c r="G55" s="204"/>
      <c r="H55" s="204"/>
      <c r="I55" s="204"/>
      <c r="J55" s="204"/>
      <c r="K55" s="204"/>
      <c r="L55" s="204"/>
      <c r="M55" s="204"/>
      <c r="N55" s="204"/>
      <c r="O55" s="204"/>
      <c r="P55" s="204"/>
      <c r="Q55" s="204"/>
      <c r="R55" s="204"/>
      <c r="S55" s="61"/>
      <c r="T55" s="205">
        <v>1</v>
      </c>
      <c r="U55" s="206"/>
      <c r="V55" s="56"/>
      <c r="W55" s="66"/>
      <c r="X55" s="87"/>
      <c r="Y55" s="279" t="s">
        <v>118</v>
      </c>
      <c r="Z55" s="224"/>
      <c r="AA55" s="224"/>
      <c r="AB55" s="224"/>
      <c r="AC55" s="224"/>
      <c r="AD55" s="224"/>
      <c r="AE55" s="224"/>
      <c r="AF55" s="224"/>
      <c r="AG55" s="224"/>
      <c r="AH55" s="224"/>
      <c r="AI55" s="224"/>
      <c r="AJ55" s="224"/>
      <c r="AK55" s="224"/>
      <c r="AL55" s="224"/>
      <c r="AM55" s="224"/>
      <c r="AN55" s="224"/>
      <c r="AO55" s="224"/>
      <c r="AP55" s="224"/>
      <c r="AQ55" s="224"/>
      <c r="AR55" s="126"/>
      <c r="AS55" s="39"/>
      <c r="AT55" s="51"/>
      <c r="AU55" s="51"/>
      <c r="AV55" s="51"/>
      <c r="AW55" s="51"/>
      <c r="AX55" s="51"/>
      <c r="AY55" s="51"/>
      <c r="AZ55" s="51"/>
      <c r="BA55" s="51"/>
      <c r="BB55" s="51"/>
      <c r="BC55" s="40"/>
    </row>
    <row r="56" spans="1:55" s="37" customFormat="1" ht="18" customHeight="1" thickTop="1" x14ac:dyDescent="0.2">
      <c r="A56" s="22"/>
      <c r="B56" s="69"/>
      <c r="C56" s="68" t="s">
        <v>18</v>
      </c>
      <c r="D56" s="202" t="s">
        <v>52</v>
      </c>
      <c r="E56" s="204"/>
      <c r="F56" s="204"/>
      <c r="G56" s="204"/>
      <c r="H56" s="204"/>
      <c r="I56" s="204"/>
      <c r="J56" s="204"/>
      <c r="K56" s="204"/>
      <c r="L56" s="204"/>
      <c r="M56" s="204"/>
      <c r="N56" s="204"/>
      <c r="O56" s="204"/>
      <c r="P56" s="204"/>
      <c r="Q56" s="204"/>
      <c r="R56" s="204"/>
      <c r="S56" s="61"/>
      <c r="T56" s="205">
        <v>2</v>
      </c>
      <c r="U56" s="206"/>
      <c r="V56" s="56"/>
      <c r="W56" s="66"/>
      <c r="X56" s="87"/>
      <c r="Y56" s="224"/>
      <c r="Z56" s="224"/>
      <c r="AA56" s="224"/>
      <c r="AB56" s="224"/>
      <c r="AC56" s="224"/>
      <c r="AD56" s="224"/>
      <c r="AE56" s="224"/>
      <c r="AF56" s="224"/>
      <c r="AG56" s="224"/>
      <c r="AH56" s="224"/>
      <c r="AI56" s="224"/>
      <c r="AJ56" s="224"/>
      <c r="AK56" s="224"/>
      <c r="AL56" s="224"/>
      <c r="AM56" s="224"/>
      <c r="AN56" s="224"/>
      <c r="AO56" s="224"/>
      <c r="AP56" s="224"/>
      <c r="AQ56" s="224"/>
      <c r="AR56" s="126"/>
      <c r="AS56" s="39"/>
      <c r="AT56" s="265" t="s">
        <v>127</v>
      </c>
      <c r="AU56" s="266"/>
      <c r="AV56" s="266"/>
      <c r="AW56" s="266"/>
      <c r="AX56" s="266"/>
      <c r="AY56" s="266"/>
      <c r="AZ56" s="266"/>
      <c r="BA56" s="266"/>
      <c r="BB56" s="267"/>
      <c r="BC56" s="40"/>
    </row>
    <row r="57" spans="1:55" s="37" customFormat="1" ht="18" customHeight="1" x14ac:dyDescent="0.2">
      <c r="A57" s="22"/>
      <c r="B57" s="69"/>
      <c r="C57" s="31"/>
      <c r="D57" s="204"/>
      <c r="E57" s="204"/>
      <c r="F57" s="204"/>
      <c r="G57" s="204"/>
      <c r="H57" s="204"/>
      <c r="I57" s="204"/>
      <c r="J57" s="204"/>
      <c r="K57" s="204"/>
      <c r="L57" s="204"/>
      <c r="M57" s="204"/>
      <c r="N57" s="204"/>
      <c r="O57" s="204"/>
      <c r="P57" s="204"/>
      <c r="Q57" s="204"/>
      <c r="R57" s="204"/>
      <c r="S57" s="61"/>
      <c r="T57" s="31"/>
      <c r="U57" s="31"/>
      <c r="V57" s="56"/>
      <c r="W57" s="66"/>
      <c r="X57" s="87"/>
      <c r="Y57" s="224"/>
      <c r="Z57" s="224"/>
      <c r="AA57" s="224"/>
      <c r="AB57" s="224"/>
      <c r="AC57" s="224"/>
      <c r="AD57" s="224"/>
      <c r="AE57" s="224"/>
      <c r="AF57" s="224"/>
      <c r="AG57" s="224"/>
      <c r="AH57" s="224"/>
      <c r="AI57" s="224"/>
      <c r="AJ57" s="224"/>
      <c r="AK57" s="224"/>
      <c r="AL57" s="224"/>
      <c r="AM57" s="224"/>
      <c r="AN57" s="224"/>
      <c r="AO57" s="224"/>
      <c r="AP57" s="224"/>
      <c r="AQ57" s="224"/>
      <c r="AR57" s="126"/>
      <c r="AS57" s="39"/>
      <c r="AT57" s="268"/>
      <c r="AU57" s="269"/>
      <c r="AV57" s="269"/>
      <c r="AW57" s="269"/>
      <c r="AX57" s="269"/>
      <c r="AY57" s="269"/>
      <c r="AZ57" s="269"/>
      <c r="BA57" s="269"/>
      <c r="BB57" s="270"/>
      <c r="BC57" s="40"/>
    </row>
    <row r="58" spans="1:55" s="37" customFormat="1" ht="18" customHeight="1" thickBot="1" x14ac:dyDescent="0.25">
      <c r="A58" s="22"/>
      <c r="B58" s="69"/>
      <c r="C58" s="68" t="s">
        <v>19</v>
      </c>
      <c r="D58" s="202" t="s">
        <v>53</v>
      </c>
      <c r="E58" s="204"/>
      <c r="F58" s="204"/>
      <c r="G58" s="204"/>
      <c r="H58" s="204"/>
      <c r="I58" s="204"/>
      <c r="J58" s="204"/>
      <c r="K58" s="204"/>
      <c r="L58" s="204"/>
      <c r="M58" s="204"/>
      <c r="N58" s="204"/>
      <c r="O58" s="204"/>
      <c r="P58" s="204"/>
      <c r="Q58" s="204"/>
      <c r="R58" s="204"/>
      <c r="S58" s="61"/>
      <c r="T58" s="205">
        <v>2</v>
      </c>
      <c r="U58" s="206"/>
      <c r="V58" s="56"/>
      <c r="W58" s="66"/>
      <c r="X58" s="87"/>
      <c r="Y58" s="279" t="s">
        <v>119</v>
      </c>
      <c r="Z58" s="224"/>
      <c r="AA58" s="224"/>
      <c r="AB58" s="224"/>
      <c r="AC58" s="224"/>
      <c r="AD58" s="224"/>
      <c r="AE58" s="224"/>
      <c r="AF58" s="224"/>
      <c r="AG58" s="224"/>
      <c r="AH58" s="224"/>
      <c r="AI58" s="224"/>
      <c r="AJ58" s="224"/>
      <c r="AK58" s="224"/>
      <c r="AL58" s="224"/>
      <c r="AM58" s="224"/>
      <c r="AN58" s="224"/>
      <c r="AO58" s="224"/>
      <c r="AP58" s="224"/>
      <c r="AQ58" s="224"/>
      <c r="AR58" s="126"/>
      <c r="AS58" s="39"/>
      <c r="AT58" s="271"/>
      <c r="AU58" s="272"/>
      <c r="AV58" s="272"/>
      <c r="AW58" s="272"/>
      <c r="AX58" s="272"/>
      <c r="AY58" s="272"/>
      <c r="AZ58" s="272"/>
      <c r="BA58" s="272"/>
      <c r="BB58" s="273"/>
      <c r="BC58" s="40"/>
    </row>
    <row r="59" spans="1:55" s="37" customFormat="1" ht="18" customHeight="1" thickTop="1" thickBot="1" x14ac:dyDescent="0.25">
      <c r="A59" s="22"/>
      <c r="B59" s="69"/>
      <c r="C59" s="68" t="s">
        <v>20</v>
      </c>
      <c r="D59" s="202" t="s">
        <v>58</v>
      </c>
      <c r="E59" s="204"/>
      <c r="F59" s="204"/>
      <c r="G59" s="204"/>
      <c r="H59" s="204"/>
      <c r="I59" s="204"/>
      <c r="J59" s="204"/>
      <c r="K59" s="204"/>
      <c r="L59" s="204"/>
      <c r="M59" s="204"/>
      <c r="N59" s="204"/>
      <c r="O59" s="204"/>
      <c r="P59" s="204"/>
      <c r="Q59" s="204"/>
      <c r="R59" s="204"/>
      <c r="S59" s="61"/>
      <c r="T59" s="205">
        <v>1</v>
      </c>
      <c r="U59" s="206"/>
      <c r="V59" s="56"/>
      <c r="W59" s="66"/>
      <c r="X59" s="87"/>
      <c r="Y59" s="224"/>
      <c r="Z59" s="224"/>
      <c r="AA59" s="224"/>
      <c r="AB59" s="224"/>
      <c r="AC59" s="224"/>
      <c r="AD59" s="224"/>
      <c r="AE59" s="224"/>
      <c r="AF59" s="224"/>
      <c r="AG59" s="224"/>
      <c r="AH59" s="224"/>
      <c r="AI59" s="224"/>
      <c r="AJ59" s="224"/>
      <c r="AK59" s="224"/>
      <c r="AL59" s="224"/>
      <c r="AM59" s="224"/>
      <c r="AN59" s="224"/>
      <c r="AO59" s="224"/>
      <c r="AP59" s="224"/>
      <c r="AQ59" s="224"/>
      <c r="AR59" s="126"/>
      <c r="AS59" s="39"/>
      <c r="BC59" s="40"/>
    </row>
    <row r="60" spans="1:55" s="37" customFormat="1" ht="18" customHeight="1" thickTop="1" x14ac:dyDescent="0.2">
      <c r="A60" s="22"/>
      <c r="B60" s="69"/>
      <c r="C60" s="35"/>
      <c r="D60" s="204"/>
      <c r="E60" s="204"/>
      <c r="F60" s="204"/>
      <c r="G60" s="204"/>
      <c r="H60" s="204"/>
      <c r="I60" s="204"/>
      <c r="J60" s="204"/>
      <c r="K60" s="204"/>
      <c r="L60" s="204"/>
      <c r="M60" s="204"/>
      <c r="N60" s="204"/>
      <c r="O60" s="204"/>
      <c r="P60" s="204"/>
      <c r="Q60" s="204"/>
      <c r="R60" s="204"/>
      <c r="S60" s="61"/>
      <c r="T60" s="35"/>
      <c r="U60" s="35"/>
      <c r="V60" s="56"/>
      <c r="W60" s="66"/>
      <c r="X60" s="87"/>
      <c r="Y60" s="224"/>
      <c r="Z60" s="224"/>
      <c r="AA60" s="224"/>
      <c r="AB60" s="224"/>
      <c r="AC60" s="224"/>
      <c r="AD60" s="224"/>
      <c r="AE60" s="224"/>
      <c r="AF60" s="224"/>
      <c r="AG60" s="224"/>
      <c r="AH60" s="224"/>
      <c r="AI60" s="224"/>
      <c r="AJ60" s="224"/>
      <c r="AK60" s="224"/>
      <c r="AL60" s="224"/>
      <c r="AM60" s="224"/>
      <c r="AN60" s="224"/>
      <c r="AO60" s="224"/>
      <c r="AP60" s="224"/>
      <c r="AQ60" s="224"/>
      <c r="AR60" s="126"/>
      <c r="AS60" s="39"/>
      <c r="AT60" s="287" t="s">
        <v>59</v>
      </c>
      <c r="AU60" s="288"/>
      <c r="AV60" s="288"/>
      <c r="AW60" s="288"/>
      <c r="AX60" s="288"/>
      <c r="AY60" s="288"/>
      <c r="AZ60" s="288"/>
      <c r="BA60" s="288"/>
      <c r="BB60" s="289"/>
      <c r="BC60" s="40"/>
    </row>
    <row r="61" spans="1:55" s="37" customFormat="1" ht="18" customHeight="1" x14ac:dyDescent="0.2">
      <c r="A61" s="22"/>
      <c r="B61" s="69"/>
      <c r="C61" s="68" t="s">
        <v>21</v>
      </c>
      <c r="D61" s="202" t="s">
        <v>54</v>
      </c>
      <c r="E61" s="204"/>
      <c r="F61" s="204"/>
      <c r="G61" s="204"/>
      <c r="H61" s="204"/>
      <c r="I61" s="204"/>
      <c r="J61" s="204"/>
      <c r="K61" s="204"/>
      <c r="L61" s="204"/>
      <c r="M61" s="204"/>
      <c r="N61" s="204"/>
      <c r="O61" s="204"/>
      <c r="P61" s="204"/>
      <c r="Q61" s="204"/>
      <c r="R61" s="204"/>
      <c r="S61" s="61"/>
      <c r="T61" s="205">
        <v>3</v>
      </c>
      <c r="U61" s="206"/>
      <c r="V61" s="56"/>
      <c r="W61" s="66"/>
      <c r="X61" s="87"/>
      <c r="Y61" s="279" t="s">
        <v>120</v>
      </c>
      <c r="Z61" s="224"/>
      <c r="AA61" s="224"/>
      <c r="AB61" s="224"/>
      <c r="AC61" s="224"/>
      <c r="AD61" s="224"/>
      <c r="AE61" s="224"/>
      <c r="AF61" s="224"/>
      <c r="AG61" s="224"/>
      <c r="AH61" s="224"/>
      <c r="AI61" s="224"/>
      <c r="AJ61" s="224"/>
      <c r="AK61" s="224"/>
      <c r="AL61" s="224"/>
      <c r="AM61" s="224"/>
      <c r="AN61" s="224"/>
      <c r="AO61" s="224"/>
      <c r="AP61" s="224"/>
      <c r="AQ61" s="224"/>
      <c r="AR61" s="126"/>
      <c r="AS61" s="39"/>
      <c r="AT61" s="290"/>
      <c r="AU61" s="291"/>
      <c r="AV61" s="291"/>
      <c r="AW61" s="291"/>
      <c r="AX61" s="291"/>
      <c r="AY61" s="291"/>
      <c r="AZ61" s="291"/>
      <c r="BA61" s="291"/>
      <c r="BB61" s="292"/>
      <c r="BC61" s="40"/>
    </row>
    <row r="62" spans="1:55" s="37" customFormat="1" ht="18" customHeight="1" thickBot="1" x14ac:dyDescent="0.25">
      <c r="A62" s="22"/>
      <c r="B62" s="69"/>
      <c r="C62" s="35"/>
      <c r="D62" s="204"/>
      <c r="E62" s="204"/>
      <c r="F62" s="204"/>
      <c r="G62" s="204"/>
      <c r="H62" s="204"/>
      <c r="I62" s="204"/>
      <c r="J62" s="204"/>
      <c r="K62" s="204"/>
      <c r="L62" s="204"/>
      <c r="M62" s="204"/>
      <c r="N62" s="204"/>
      <c r="O62" s="204"/>
      <c r="P62" s="204"/>
      <c r="Q62" s="204"/>
      <c r="R62" s="204"/>
      <c r="S62" s="61"/>
      <c r="T62" s="35"/>
      <c r="U62" s="35"/>
      <c r="V62" s="56"/>
      <c r="W62" s="66"/>
      <c r="X62" s="87"/>
      <c r="Y62" s="224"/>
      <c r="Z62" s="224"/>
      <c r="AA62" s="224"/>
      <c r="AB62" s="224"/>
      <c r="AC62" s="224"/>
      <c r="AD62" s="224"/>
      <c r="AE62" s="224"/>
      <c r="AF62" s="224"/>
      <c r="AG62" s="224"/>
      <c r="AH62" s="224"/>
      <c r="AI62" s="224"/>
      <c r="AJ62" s="224"/>
      <c r="AK62" s="224"/>
      <c r="AL62" s="224"/>
      <c r="AM62" s="224"/>
      <c r="AN62" s="224"/>
      <c r="AO62" s="224"/>
      <c r="AP62" s="224"/>
      <c r="AQ62" s="224"/>
      <c r="AR62" s="126"/>
      <c r="AS62" s="39"/>
      <c r="AT62" s="293"/>
      <c r="AU62" s="294"/>
      <c r="AV62" s="294"/>
      <c r="AW62" s="294"/>
      <c r="AX62" s="294"/>
      <c r="AY62" s="294"/>
      <c r="AZ62" s="294"/>
      <c r="BA62" s="294"/>
      <c r="BB62" s="295"/>
      <c r="BC62" s="40"/>
    </row>
    <row r="63" spans="1:55" s="37" customFormat="1" ht="18" customHeight="1" thickTop="1" x14ac:dyDescent="0.2">
      <c r="A63" s="22"/>
      <c r="B63" s="57"/>
      <c r="C63" s="68" t="s">
        <v>22</v>
      </c>
      <c r="D63" s="202" t="s">
        <v>55</v>
      </c>
      <c r="E63" s="204"/>
      <c r="F63" s="204"/>
      <c r="G63" s="204"/>
      <c r="H63" s="204"/>
      <c r="I63" s="204"/>
      <c r="J63" s="204"/>
      <c r="K63" s="204"/>
      <c r="L63" s="204"/>
      <c r="M63" s="204"/>
      <c r="N63" s="204"/>
      <c r="O63" s="204"/>
      <c r="P63" s="204"/>
      <c r="Q63" s="204"/>
      <c r="R63" s="204"/>
      <c r="S63" s="61"/>
      <c r="T63" s="205">
        <v>1</v>
      </c>
      <c r="U63" s="206"/>
      <c r="V63" s="56"/>
      <c r="W63" s="66"/>
      <c r="X63" s="87"/>
      <c r="Y63" s="224"/>
      <c r="Z63" s="224"/>
      <c r="AA63" s="224"/>
      <c r="AB63" s="224"/>
      <c r="AC63" s="224"/>
      <c r="AD63" s="224"/>
      <c r="AE63" s="224"/>
      <c r="AF63" s="224"/>
      <c r="AG63" s="224"/>
      <c r="AH63" s="224"/>
      <c r="AI63" s="224"/>
      <c r="AJ63" s="224"/>
      <c r="AK63" s="224"/>
      <c r="AL63" s="224"/>
      <c r="AM63" s="224"/>
      <c r="AN63" s="224"/>
      <c r="AO63" s="224"/>
      <c r="AP63" s="224"/>
      <c r="AQ63" s="224"/>
      <c r="AR63" s="126"/>
      <c r="AS63" s="39"/>
      <c r="AT63" s="158"/>
      <c r="AU63" s="158"/>
      <c r="AV63" s="158"/>
      <c r="AW63" s="158"/>
      <c r="AX63" s="158"/>
      <c r="AY63" s="158"/>
      <c r="AZ63" s="158"/>
      <c r="BA63" s="158"/>
      <c r="BB63" s="158"/>
      <c r="BC63" s="24"/>
    </row>
    <row r="64" spans="1:55" s="37" customFormat="1" ht="18" customHeight="1" x14ac:dyDescent="0.2">
      <c r="A64" s="22"/>
      <c r="B64" s="57"/>
      <c r="C64" s="68" t="s">
        <v>23</v>
      </c>
      <c r="D64" s="202" t="s">
        <v>56</v>
      </c>
      <c r="E64" s="204"/>
      <c r="F64" s="204"/>
      <c r="G64" s="204"/>
      <c r="H64" s="204"/>
      <c r="I64" s="204"/>
      <c r="J64" s="204"/>
      <c r="K64" s="204"/>
      <c r="L64" s="204"/>
      <c r="M64" s="204"/>
      <c r="N64" s="204"/>
      <c r="O64" s="204"/>
      <c r="P64" s="204"/>
      <c r="Q64" s="204"/>
      <c r="R64" s="204"/>
      <c r="S64" s="61"/>
      <c r="T64" s="205"/>
      <c r="U64" s="206"/>
      <c r="V64" s="56"/>
      <c r="W64" s="66"/>
      <c r="X64" s="87"/>
      <c r="Y64" s="279" t="s">
        <v>121</v>
      </c>
      <c r="Z64" s="224"/>
      <c r="AA64" s="224"/>
      <c r="AB64" s="224"/>
      <c r="AC64" s="224"/>
      <c r="AD64" s="224"/>
      <c r="AE64" s="224"/>
      <c r="AF64" s="224"/>
      <c r="AG64" s="224"/>
      <c r="AH64" s="224"/>
      <c r="AI64" s="224"/>
      <c r="AJ64" s="224"/>
      <c r="AK64" s="224"/>
      <c r="AL64" s="224"/>
      <c r="AM64" s="224"/>
      <c r="AN64" s="224"/>
      <c r="AO64" s="224"/>
      <c r="AP64" s="224"/>
      <c r="AQ64" s="224"/>
      <c r="AR64" s="126"/>
      <c r="AS64" s="39"/>
      <c r="AT64" s="154"/>
      <c r="AU64" s="154"/>
      <c r="AV64" s="154"/>
      <c r="AW64" s="154"/>
      <c r="AX64" s="154"/>
      <c r="AY64" s="154"/>
      <c r="AZ64" s="154"/>
      <c r="BA64" s="154"/>
      <c r="BB64" s="154"/>
      <c r="BC64" s="24"/>
    </row>
    <row r="65" spans="1:55" s="35" customFormat="1" ht="18" customHeight="1" x14ac:dyDescent="0.2">
      <c r="A65" s="22"/>
      <c r="B65" s="57"/>
      <c r="C65" s="68" t="s">
        <v>24</v>
      </c>
      <c r="D65" s="202" t="s">
        <v>57</v>
      </c>
      <c r="E65" s="204"/>
      <c r="F65" s="204"/>
      <c r="G65" s="204"/>
      <c r="H65" s="204"/>
      <c r="I65" s="204"/>
      <c r="J65" s="204"/>
      <c r="K65" s="204"/>
      <c r="L65" s="204"/>
      <c r="M65" s="204"/>
      <c r="N65" s="204"/>
      <c r="O65" s="204"/>
      <c r="P65" s="204"/>
      <c r="Q65" s="204"/>
      <c r="R65" s="204"/>
      <c r="S65" s="61"/>
      <c r="T65" s="205"/>
      <c r="U65" s="206"/>
      <c r="V65" s="56"/>
      <c r="W65" s="66"/>
      <c r="X65" s="71"/>
      <c r="Y65" s="224"/>
      <c r="Z65" s="224"/>
      <c r="AA65" s="224"/>
      <c r="AB65" s="224"/>
      <c r="AC65" s="224"/>
      <c r="AD65" s="224"/>
      <c r="AE65" s="224"/>
      <c r="AF65" s="224"/>
      <c r="AG65" s="224"/>
      <c r="AH65" s="224"/>
      <c r="AI65" s="224"/>
      <c r="AJ65" s="224"/>
      <c r="AK65" s="224"/>
      <c r="AL65" s="224"/>
      <c r="AM65" s="224"/>
      <c r="AN65" s="224"/>
      <c r="AO65" s="224"/>
      <c r="AP65" s="224"/>
      <c r="AQ65" s="224"/>
      <c r="AR65" s="132"/>
      <c r="AS65" s="39"/>
      <c r="AT65" s="155"/>
      <c r="AU65" s="155"/>
      <c r="AV65" s="155"/>
      <c r="AW65" s="155"/>
      <c r="AX65" s="155"/>
      <c r="AY65" s="155"/>
      <c r="AZ65" s="155"/>
      <c r="BA65" s="155"/>
      <c r="BB65" s="155"/>
      <c r="BC65" s="24"/>
    </row>
    <row r="66" spans="1:55" s="35" customFormat="1" ht="18" customHeight="1" x14ac:dyDescent="0.2">
      <c r="A66" s="22"/>
      <c r="B66" s="57"/>
      <c r="C66" s="61"/>
      <c r="D66" s="204"/>
      <c r="E66" s="204"/>
      <c r="F66" s="204"/>
      <c r="G66" s="204"/>
      <c r="H66" s="204"/>
      <c r="I66" s="204"/>
      <c r="J66" s="204"/>
      <c r="K66" s="204"/>
      <c r="L66" s="204"/>
      <c r="M66" s="204"/>
      <c r="N66" s="204"/>
      <c r="O66" s="204"/>
      <c r="P66" s="204"/>
      <c r="Q66" s="204"/>
      <c r="R66" s="204"/>
      <c r="S66" s="37"/>
      <c r="T66" s="61"/>
      <c r="U66" s="61"/>
      <c r="V66" s="56"/>
      <c r="W66" s="66"/>
      <c r="X66" s="71"/>
      <c r="Y66" s="224"/>
      <c r="Z66" s="224"/>
      <c r="AA66" s="224"/>
      <c r="AB66" s="224"/>
      <c r="AC66" s="224"/>
      <c r="AD66" s="224"/>
      <c r="AE66" s="224"/>
      <c r="AF66" s="224"/>
      <c r="AG66" s="224"/>
      <c r="AH66" s="224"/>
      <c r="AI66" s="224"/>
      <c r="AJ66" s="224"/>
      <c r="AK66" s="224"/>
      <c r="AL66" s="224"/>
      <c r="AM66" s="224"/>
      <c r="AN66" s="224"/>
      <c r="AO66" s="224"/>
      <c r="AP66" s="224"/>
      <c r="AQ66" s="224"/>
      <c r="AR66" s="132"/>
      <c r="AS66" s="39"/>
      <c r="AT66" s="154"/>
      <c r="AU66" s="154"/>
      <c r="AV66" s="154"/>
      <c r="AW66" s="154"/>
      <c r="AX66" s="154"/>
      <c r="AY66" s="154"/>
      <c r="AZ66" s="154"/>
      <c r="BA66" s="154"/>
      <c r="BB66" s="154"/>
      <c r="BC66" s="24"/>
    </row>
    <row r="67" spans="1:55" s="35" customFormat="1" ht="18" customHeight="1" thickBot="1" x14ac:dyDescent="0.25">
      <c r="A67" s="22"/>
      <c r="B67" s="62"/>
      <c r="C67" s="63"/>
      <c r="D67" s="63"/>
      <c r="E67" s="63"/>
      <c r="F67" s="63"/>
      <c r="G67" s="63"/>
      <c r="H67" s="63"/>
      <c r="I67" s="63"/>
      <c r="J67" s="63"/>
      <c r="K67" s="63"/>
      <c r="L67" s="63"/>
      <c r="M67" s="63"/>
      <c r="N67" s="63"/>
      <c r="O67" s="63"/>
      <c r="P67" s="63"/>
      <c r="Q67" s="63"/>
      <c r="R67" s="63"/>
      <c r="S67" s="63"/>
      <c r="T67" s="63"/>
      <c r="U67" s="63"/>
      <c r="V67" s="64"/>
      <c r="W67" s="66"/>
      <c r="X67" s="133"/>
      <c r="Y67" s="134"/>
      <c r="Z67" s="134"/>
      <c r="AA67" s="134"/>
      <c r="AB67" s="134"/>
      <c r="AC67" s="134"/>
      <c r="AD67" s="134"/>
      <c r="AE67" s="134"/>
      <c r="AF67" s="134"/>
      <c r="AG67" s="134"/>
      <c r="AH67" s="134"/>
      <c r="AI67" s="134"/>
      <c r="AJ67" s="134"/>
      <c r="AK67" s="134"/>
      <c r="AL67" s="134"/>
      <c r="AM67" s="134"/>
      <c r="AN67" s="134"/>
      <c r="AO67" s="134"/>
      <c r="AP67" s="134"/>
      <c r="AQ67" s="134"/>
      <c r="AR67" s="135"/>
      <c r="AS67" s="39"/>
      <c r="AT67" s="263" t="s">
        <v>130</v>
      </c>
      <c r="AU67" s="263"/>
      <c r="AV67" s="263"/>
      <c r="AW67" s="263"/>
      <c r="AX67" s="159"/>
      <c r="AY67" s="264"/>
      <c r="AZ67" s="264"/>
      <c r="BA67" s="264"/>
      <c r="BB67" s="264"/>
      <c r="BC67" s="24"/>
    </row>
    <row r="68" spans="1:55" s="37" customFormat="1" ht="15" customHeight="1" thickTop="1" thickBot="1" x14ac:dyDescent="0.25">
      <c r="A68" s="41"/>
      <c r="B68" s="42"/>
      <c r="C68" s="42"/>
      <c r="D68" s="42"/>
      <c r="E68" s="42"/>
      <c r="F68" s="42"/>
      <c r="G68" s="42"/>
      <c r="H68" s="42"/>
      <c r="I68" s="42"/>
      <c r="J68" s="42"/>
      <c r="K68" s="42"/>
      <c r="L68" s="42"/>
      <c r="M68" s="42"/>
      <c r="N68" s="42"/>
      <c r="O68" s="42"/>
      <c r="P68" s="43"/>
      <c r="Q68" s="42"/>
      <c r="R68" s="44"/>
      <c r="S68" s="44"/>
      <c r="T68" s="44"/>
      <c r="U68" s="44"/>
      <c r="V68" s="44"/>
      <c r="W68" s="44"/>
      <c r="X68" s="44"/>
      <c r="Y68" s="44"/>
      <c r="Z68" s="44"/>
      <c r="AA68" s="44"/>
      <c r="AB68" s="44"/>
      <c r="AC68" s="44"/>
      <c r="AD68" s="44"/>
      <c r="AE68" s="44"/>
      <c r="AF68" s="45"/>
      <c r="AG68" s="42"/>
      <c r="AH68" s="42"/>
      <c r="AI68" s="42"/>
      <c r="AJ68" s="42"/>
      <c r="AK68" s="42"/>
      <c r="AL68" s="42"/>
      <c r="AM68" s="42"/>
      <c r="AN68" s="42"/>
      <c r="AO68" s="42"/>
      <c r="AP68" s="42"/>
      <c r="AQ68" s="42"/>
      <c r="AR68" s="42"/>
      <c r="AS68" s="46"/>
      <c r="AT68" s="156"/>
      <c r="AU68" s="156"/>
      <c r="AV68" s="156"/>
      <c r="AW68" s="156"/>
      <c r="AX68" s="156"/>
      <c r="AY68" s="156"/>
      <c r="AZ68" s="156"/>
      <c r="BA68" s="156"/>
      <c r="BB68" s="156"/>
      <c r="BC68" s="157"/>
    </row>
    <row r="69" spans="1:55" s="37" customFormat="1" ht="15" customHeight="1" thickTop="1" x14ac:dyDescent="0.2">
      <c r="A69" s="30"/>
      <c r="B69" s="36"/>
      <c r="C69" s="36"/>
      <c r="D69" s="36"/>
      <c r="E69" s="36"/>
      <c r="F69" s="36"/>
      <c r="G69" s="36"/>
      <c r="H69" s="36"/>
      <c r="I69" s="36"/>
      <c r="J69" s="36"/>
      <c r="K69" s="36"/>
      <c r="L69" s="36"/>
      <c r="M69" s="36"/>
      <c r="N69" s="36"/>
      <c r="O69" s="36"/>
      <c r="P69" s="47"/>
      <c r="Q69" s="36"/>
      <c r="R69" s="33"/>
      <c r="S69" s="33"/>
      <c r="T69" s="33"/>
      <c r="U69" s="33"/>
      <c r="V69" s="33"/>
      <c r="W69" s="33"/>
      <c r="X69" s="33"/>
      <c r="Y69" s="33"/>
      <c r="Z69" s="33"/>
      <c r="AA69" s="33"/>
      <c r="AB69" s="33"/>
      <c r="AC69" s="33"/>
      <c r="AD69" s="33"/>
      <c r="AE69" s="33"/>
      <c r="AF69" s="38"/>
      <c r="AG69" s="36"/>
      <c r="AH69" s="36"/>
      <c r="AI69" s="36"/>
      <c r="AJ69" s="36"/>
      <c r="AK69" s="36"/>
      <c r="AL69" s="36"/>
      <c r="AM69" s="36"/>
      <c r="AN69" s="36"/>
      <c r="AO69" s="36"/>
      <c r="AP69" s="36"/>
      <c r="AQ69" s="36"/>
      <c r="AR69" s="36"/>
      <c r="AS69" s="36"/>
      <c r="AT69" s="36"/>
      <c r="AU69" s="36"/>
      <c r="AV69" s="36"/>
      <c r="AW69" s="36"/>
      <c r="AX69" s="48"/>
      <c r="AY69" s="31"/>
      <c r="AZ69" s="31"/>
      <c r="BA69" s="31"/>
      <c r="BB69" s="31"/>
      <c r="BC69" s="30"/>
    </row>
    <row r="70" spans="1:55" ht="0.25" customHeight="1" x14ac:dyDescent="0.2"/>
    <row r="71" spans="1:55" ht="0.25" customHeight="1" x14ac:dyDescent="0.2">
      <c r="B71" s="79" t="s">
        <v>104</v>
      </c>
      <c r="C71" s="91"/>
      <c r="D71" s="91"/>
      <c r="E71" s="91"/>
      <c r="F71" s="91"/>
      <c r="G71" s="91"/>
      <c r="H71" s="91" t="s">
        <v>204</v>
      </c>
      <c r="I71" s="91" t="s">
        <v>205</v>
      </c>
      <c r="J71" s="91" t="s">
        <v>206</v>
      </c>
      <c r="K71" s="91" t="s">
        <v>207</v>
      </c>
      <c r="L71" s="91" t="s">
        <v>208</v>
      </c>
      <c r="M71" s="91" t="s">
        <v>209</v>
      </c>
      <c r="N71" s="91" t="s">
        <v>210</v>
      </c>
      <c r="O71" s="91"/>
      <c r="Y71" s="151"/>
      <c r="Z71" s="151"/>
      <c r="AA71" s="151"/>
      <c r="AB71" s="151"/>
      <c r="AC71" s="151"/>
      <c r="AD71" s="151"/>
      <c r="AE71" s="151"/>
      <c r="AF71" s="151"/>
    </row>
    <row r="72" spans="1:55" ht="0.25" customHeight="1" x14ac:dyDescent="0.2">
      <c r="B72" s="89"/>
      <c r="C72" s="80" t="s">
        <v>93</v>
      </c>
      <c r="D72" s="92"/>
      <c r="E72" s="92"/>
      <c r="F72" s="92"/>
      <c r="G72" s="92"/>
      <c r="H72" s="93">
        <f>T17</f>
        <v>1</v>
      </c>
      <c r="I72" s="93">
        <f>T32</f>
        <v>1</v>
      </c>
      <c r="J72" s="93">
        <f>T45</f>
        <v>1</v>
      </c>
      <c r="K72" s="93">
        <f>T56</f>
        <v>2</v>
      </c>
      <c r="L72" s="93">
        <f>AP13</f>
        <v>1</v>
      </c>
      <c r="M72" s="93">
        <f>AP31</f>
        <v>1</v>
      </c>
      <c r="N72" s="93">
        <f>AP38</f>
        <v>2</v>
      </c>
      <c r="O72" s="92">
        <f>SUM(H72:N72)</f>
        <v>9</v>
      </c>
    </row>
    <row r="73" spans="1:55" ht="0.25" customHeight="1" x14ac:dyDescent="0.2">
      <c r="B73" s="89"/>
      <c r="C73" s="80" t="s">
        <v>94</v>
      </c>
      <c r="D73" s="92"/>
      <c r="E73" s="92"/>
      <c r="F73" s="92"/>
      <c r="G73" s="92"/>
      <c r="H73" s="93">
        <f>T19</f>
        <v>2</v>
      </c>
      <c r="I73" s="93">
        <f>T24</f>
        <v>1</v>
      </c>
      <c r="J73" s="93">
        <f>T52</f>
        <v>1</v>
      </c>
      <c r="K73" s="93">
        <f>T59</f>
        <v>1</v>
      </c>
      <c r="L73" s="93">
        <f>AP11</f>
        <v>1</v>
      </c>
      <c r="M73" s="93">
        <f>AP30</f>
        <v>2</v>
      </c>
      <c r="N73" s="93">
        <f>AP46</f>
        <v>0</v>
      </c>
      <c r="O73" s="92">
        <f>SUM(H73:N73)</f>
        <v>8</v>
      </c>
    </row>
    <row r="74" spans="1:55" ht="0.25" customHeight="1" x14ac:dyDescent="0.2">
      <c r="B74" s="89"/>
      <c r="C74" s="80" t="s">
        <v>97</v>
      </c>
      <c r="D74" s="92"/>
      <c r="E74" s="92"/>
      <c r="F74" s="92"/>
      <c r="G74" s="92"/>
      <c r="H74" s="93">
        <f>T15</f>
        <v>0</v>
      </c>
      <c r="I74" s="93">
        <f>T38</f>
        <v>0</v>
      </c>
      <c r="J74" s="93">
        <f>T43</f>
        <v>2</v>
      </c>
      <c r="K74" s="93">
        <f>T63</f>
        <v>1</v>
      </c>
      <c r="L74" s="93">
        <f>AP16</f>
        <v>0</v>
      </c>
      <c r="M74" s="93">
        <f>AP27</f>
        <v>1</v>
      </c>
      <c r="N74" s="93">
        <f>AP42</f>
        <v>0</v>
      </c>
      <c r="O74" s="92">
        <f>SUM(H74:N74)</f>
        <v>4</v>
      </c>
    </row>
    <row r="75" spans="1:55" ht="0.25" customHeight="1" x14ac:dyDescent="0.2">
      <c r="B75" s="79" t="s">
        <v>103</v>
      </c>
      <c r="C75" s="75"/>
      <c r="D75" s="91"/>
      <c r="E75" s="91"/>
      <c r="F75" s="91"/>
      <c r="G75" s="91"/>
      <c r="H75" s="91"/>
      <c r="I75" s="91"/>
      <c r="J75" s="91"/>
      <c r="K75" s="91"/>
      <c r="L75" s="91"/>
      <c r="M75" s="91"/>
      <c r="N75" s="91"/>
      <c r="O75" s="91"/>
    </row>
    <row r="76" spans="1:55" ht="0.25" customHeight="1" x14ac:dyDescent="0.2">
      <c r="B76" s="90"/>
      <c r="C76" s="83" t="s">
        <v>98</v>
      </c>
      <c r="D76" s="94"/>
      <c r="E76" s="94"/>
      <c r="F76" s="94"/>
      <c r="G76" s="94"/>
      <c r="H76" s="95">
        <f>T13</f>
        <v>0</v>
      </c>
      <c r="I76" s="95">
        <f>T26</f>
        <v>3</v>
      </c>
      <c r="J76" s="95">
        <f>T42</f>
        <v>0</v>
      </c>
      <c r="K76" s="95">
        <f>T65</f>
        <v>0</v>
      </c>
      <c r="L76" s="95">
        <f>AP15</f>
        <v>1</v>
      </c>
      <c r="M76" s="95">
        <f>AP25</f>
        <v>1</v>
      </c>
      <c r="N76" s="95">
        <f>AP49</f>
        <v>0</v>
      </c>
      <c r="O76" s="94">
        <f>SUM(H76:N76)</f>
        <v>5</v>
      </c>
    </row>
    <row r="77" spans="1:55" ht="0.25" customHeight="1" x14ac:dyDescent="0.2">
      <c r="B77" s="90"/>
      <c r="C77" s="85" t="s">
        <v>95</v>
      </c>
      <c r="D77" s="94"/>
      <c r="E77" s="94"/>
      <c r="F77" s="94"/>
      <c r="G77" s="94"/>
      <c r="H77" s="95">
        <f>T11</f>
        <v>2</v>
      </c>
      <c r="I77" s="95">
        <f>T34</f>
        <v>3</v>
      </c>
      <c r="J77" s="95">
        <f>T48</f>
        <v>2</v>
      </c>
      <c r="K77" s="95">
        <f>T55</f>
        <v>1</v>
      </c>
      <c r="L77" s="95">
        <f>AP12</f>
        <v>0</v>
      </c>
      <c r="M77" s="95">
        <f>AP23</f>
        <v>1</v>
      </c>
      <c r="N77" s="95">
        <f>AP50</f>
        <v>3</v>
      </c>
      <c r="O77" s="94">
        <f>SUM(H77:N77)</f>
        <v>12</v>
      </c>
    </row>
    <row r="78" spans="1:55" ht="0.25" customHeight="1" x14ac:dyDescent="0.2">
      <c r="B78" s="90"/>
      <c r="C78" s="85" t="s">
        <v>96</v>
      </c>
      <c r="D78" s="94"/>
      <c r="E78" s="94"/>
      <c r="F78" s="94"/>
      <c r="G78" s="94"/>
      <c r="H78" s="95">
        <f>T10</f>
        <v>1</v>
      </c>
      <c r="I78" s="95">
        <f>T28</f>
        <v>0</v>
      </c>
      <c r="J78" s="95">
        <f>T49</f>
        <v>2</v>
      </c>
      <c r="K78" s="95">
        <f>T64</f>
        <v>0</v>
      </c>
      <c r="L78" s="95">
        <f>AP14</f>
        <v>2</v>
      </c>
      <c r="M78" s="95">
        <f>AP33</f>
        <v>0</v>
      </c>
      <c r="N78" s="95">
        <f>AP44</f>
        <v>0</v>
      </c>
      <c r="O78" s="94">
        <f>SUM(H78:N78)</f>
        <v>5</v>
      </c>
    </row>
    <row r="79" spans="1:55" ht="0.25" customHeight="1" x14ac:dyDescent="0.2">
      <c r="B79" s="78" t="s">
        <v>102</v>
      </c>
      <c r="C79" s="76"/>
      <c r="D79" s="91"/>
      <c r="E79" s="91"/>
      <c r="F79" s="91"/>
      <c r="G79" s="91"/>
      <c r="H79" s="91"/>
      <c r="I79" s="91"/>
      <c r="J79" s="91"/>
      <c r="K79" s="91"/>
      <c r="L79" s="91"/>
      <c r="M79" s="91"/>
      <c r="N79" s="91"/>
      <c r="O79" s="91"/>
    </row>
    <row r="80" spans="1:55" ht="0.25" customHeight="1" x14ac:dyDescent="0.2">
      <c r="B80" s="77"/>
      <c r="C80" s="77" t="s">
        <v>99</v>
      </c>
      <c r="D80" s="96"/>
      <c r="E80" s="96"/>
      <c r="F80" s="96"/>
      <c r="G80" s="96"/>
      <c r="H80" s="96"/>
      <c r="I80" s="96"/>
      <c r="J80" s="96"/>
      <c r="K80" s="96"/>
      <c r="L80" s="96"/>
      <c r="M80" s="96"/>
      <c r="N80" s="96"/>
      <c r="O80" s="96">
        <f>SUM(H80:N80)</f>
        <v>0</v>
      </c>
    </row>
    <row r="81" spans="2:15" ht="0.25" customHeight="1" x14ac:dyDescent="0.2">
      <c r="B81" s="77"/>
      <c r="C81" s="77" t="s">
        <v>100</v>
      </c>
      <c r="D81" s="96"/>
      <c r="E81" s="96"/>
      <c r="F81" s="96"/>
      <c r="G81" s="96"/>
      <c r="H81" s="97">
        <f>T12</f>
        <v>0</v>
      </c>
      <c r="I81" s="97">
        <f>T36</f>
        <v>0</v>
      </c>
      <c r="J81" s="97">
        <f>T47</f>
        <v>1</v>
      </c>
      <c r="K81" s="97">
        <f>T61</f>
        <v>3</v>
      </c>
      <c r="L81" s="97">
        <f>AP17</f>
        <v>3</v>
      </c>
      <c r="M81" s="97">
        <f>AP21</f>
        <v>0</v>
      </c>
      <c r="N81" s="97">
        <f>AP47</f>
        <v>0</v>
      </c>
      <c r="O81" s="96">
        <f>SUM(H81:N81)</f>
        <v>7</v>
      </c>
    </row>
    <row r="82" spans="2:15" ht="0.25" customHeight="1" x14ac:dyDescent="0.2">
      <c r="B82" s="77"/>
      <c r="C82" s="86" t="s">
        <v>101</v>
      </c>
      <c r="D82" s="96"/>
      <c r="E82" s="96"/>
      <c r="F82" s="96"/>
      <c r="G82" s="96"/>
      <c r="H82" s="97">
        <f>T20</f>
        <v>4</v>
      </c>
      <c r="I82" s="97">
        <f>T30</f>
        <v>2</v>
      </c>
      <c r="J82" s="97">
        <f>T50</f>
        <v>1</v>
      </c>
      <c r="K82" s="97">
        <f>T58</f>
        <v>2</v>
      </c>
      <c r="L82" s="97">
        <f>AP10</f>
        <v>2</v>
      </c>
      <c r="M82" s="97">
        <f>AP29</f>
        <v>4</v>
      </c>
      <c r="N82" s="97">
        <f>AP40</f>
        <v>5</v>
      </c>
      <c r="O82" s="96">
        <f>SUM(H82:N82)</f>
        <v>20</v>
      </c>
    </row>
    <row r="83" spans="2:15" ht="0.25" customHeight="1" x14ac:dyDescent="0.2">
      <c r="O83" s="49">
        <f>SUM(O72:O82)</f>
        <v>70</v>
      </c>
    </row>
    <row r="84" spans="2:15" ht="0.25" customHeight="1" x14ac:dyDescent="0.2"/>
    <row r="85" spans="2:15" ht="0.25" customHeight="1" x14ac:dyDescent="0.2"/>
    <row r="86" spans="2:15" ht="0.25" customHeight="1" x14ac:dyDescent="0.2">
      <c r="C86" s="196" t="s">
        <v>143</v>
      </c>
      <c r="D86" s="196"/>
      <c r="E86" s="196" t="s">
        <v>146</v>
      </c>
      <c r="F86" s="196" t="s">
        <v>144</v>
      </c>
      <c r="G86" s="196" t="s">
        <v>90</v>
      </c>
      <c r="H86" s="196"/>
      <c r="I86" s="196" t="s">
        <v>145</v>
      </c>
      <c r="J86" s="196" t="s">
        <v>89</v>
      </c>
      <c r="K86" s="196" t="s">
        <v>87</v>
      </c>
      <c r="L86" s="196"/>
      <c r="M86" s="196" t="s">
        <v>147</v>
      </c>
      <c r="N86" s="196" t="s">
        <v>88</v>
      </c>
    </row>
    <row r="87" spans="2:15" ht="0.25" customHeight="1" x14ac:dyDescent="0.2">
      <c r="C87" s="197">
        <v>1</v>
      </c>
      <c r="D87" s="197"/>
      <c r="E87" s="199"/>
      <c r="F87" s="199"/>
      <c r="G87" s="199"/>
      <c r="H87" s="199"/>
      <c r="I87" s="199"/>
      <c r="J87" s="199"/>
      <c r="K87" s="199"/>
      <c r="L87" s="199"/>
      <c r="M87" s="199"/>
      <c r="N87" s="199"/>
    </row>
    <row r="88" spans="2:15" ht="0.25" customHeight="1" x14ac:dyDescent="0.2">
      <c r="C88" s="197"/>
      <c r="D88" s="197"/>
      <c r="E88" s="199" t="s">
        <v>22</v>
      </c>
      <c r="F88" s="199" t="s">
        <v>23</v>
      </c>
      <c r="G88" s="199" t="s">
        <v>21</v>
      </c>
      <c r="H88" s="199"/>
      <c r="I88" s="199" t="s">
        <v>20</v>
      </c>
      <c r="J88" s="199" t="s">
        <v>18</v>
      </c>
      <c r="K88" s="199" t="s">
        <v>16</v>
      </c>
      <c r="L88" s="199"/>
      <c r="M88" s="199" t="s">
        <v>19</v>
      </c>
      <c r="N88" s="199" t="s">
        <v>24</v>
      </c>
    </row>
    <row r="89" spans="2:15" ht="0.25" customHeight="1" x14ac:dyDescent="0.2">
      <c r="C89" s="197"/>
      <c r="D89" s="197"/>
      <c r="E89" s="199" t="s">
        <v>150</v>
      </c>
      <c r="F89" s="199" t="s">
        <v>148</v>
      </c>
      <c r="G89" s="199" t="s">
        <v>155</v>
      </c>
      <c r="H89" s="199"/>
      <c r="I89" s="199" t="s">
        <v>149</v>
      </c>
      <c r="J89" s="199" t="s">
        <v>154</v>
      </c>
      <c r="K89" s="199" t="s">
        <v>152</v>
      </c>
      <c r="L89" s="199"/>
      <c r="M89" s="199" t="s">
        <v>151</v>
      </c>
      <c r="N89" s="199" t="s">
        <v>153</v>
      </c>
    </row>
    <row r="90" spans="2:15" ht="0.25" customHeight="1" x14ac:dyDescent="0.2">
      <c r="C90" s="198">
        <v>2</v>
      </c>
      <c r="D90" s="198"/>
      <c r="E90" s="200"/>
      <c r="F90" s="200"/>
      <c r="G90" s="200"/>
      <c r="H90" s="200"/>
      <c r="I90" s="200"/>
      <c r="J90" s="200"/>
      <c r="K90" s="200"/>
      <c r="L90" s="200"/>
      <c r="M90" s="200"/>
      <c r="N90" s="200"/>
    </row>
    <row r="91" spans="2:15" ht="0.25" customHeight="1" x14ac:dyDescent="0.2">
      <c r="C91" s="198"/>
      <c r="D91" s="198"/>
      <c r="E91" s="200" t="s">
        <v>21</v>
      </c>
      <c r="F91" s="200" t="s">
        <v>16</v>
      </c>
      <c r="G91" s="200" t="s">
        <v>24</v>
      </c>
      <c r="H91" s="200"/>
      <c r="I91" s="200" t="s">
        <v>18</v>
      </c>
      <c r="J91" s="200" t="s">
        <v>22</v>
      </c>
      <c r="K91" s="200" t="s">
        <v>19</v>
      </c>
      <c r="L91" s="200"/>
      <c r="M91" s="200" t="s">
        <v>23</v>
      </c>
      <c r="N91" s="200" t="s">
        <v>20</v>
      </c>
    </row>
    <row r="92" spans="2:15" ht="0.25" customHeight="1" x14ac:dyDescent="0.2">
      <c r="C92" s="198"/>
      <c r="D92" s="198"/>
      <c r="E92" s="200" t="s">
        <v>156</v>
      </c>
      <c r="F92" s="200" t="s">
        <v>157</v>
      </c>
      <c r="G92" s="200" t="s">
        <v>158</v>
      </c>
      <c r="H92" s="200"/>
      <c r="I92" s="200" t="s">
        <v>159</v>
      </c>
      <c r="J92" s="200" t="s">
        <v>160</v>
      </c>
      <c r="K92" s="200" t="s">
        <v>161</v>
      </c>
      <c r="L92" s="200"/>
      <c r="M92" s="200" t="s">
        <v>163</v>
      </c>
      <c r="N92" s="200" t="s">
        <v>162</v>
      </c>
    </row>
    <row r="93" spans="2:15" ht="0.25" customHeight="1" x14ac:dyDescent="0.2">
      <c r="C93" s="197">
        <v>3</v>
      </c>
      <c r="D93" s="197"/>
      <c r="E93" s="199"/>
      <c r="F93" s="199"/>
      <c r="G93" s="199"/>
      <c r="H93" s="199"/>
      <c r="I93" s="199"/>
      <c r="J93" s="199"/>
      <c r="K93" s="199"/>
      <c r="L93" s="199"/>
      <c r="M93" s="199"/>
      <c r="N93" s="199"/>
    </row>
    <row r="94" spans="2:15" ht="0.25" customHeight="1" x14ac:dyDescent="0.2">
      <c r="C94" s="197"/>
      <c r="D94" s="197"/>
      <c r="E94" s="199" t="s">
        <v>19</v>
      </c>
      <c r="F94" s="199" t="s">
        <v>24</v>
      </c>
      <c r="G94" s="199" t="s">
        <v>18</v>
      </c>
      <c r="H94" s="199"/>
      <c r="I94" s="199" t="s">
        <v>16</v>
      </c>
      <c r="J94" s="199" t="s">
        <v>21</v>
      </c>
      <c r="K94" s="199" t="s">
        <v>22</v>
      </c>
      <c r="L94" s="199"/>
      <c r="M94" s="199" t="s">
        <v>20</v>
      </c>
      <c r="N94" s="199" t="s">
        <v>23</v>
      </c>
    </row>
    <row r="95" spans="2:15" ht="0.25" customHeight="1" x14ac:dyDescent="0.2">
      <c r="C95" s="197"/>
      <c r="D95" s="197"/>
      <c r="E95" s="199" t="s">
        <v>164</v>
      </c>
      <c r="F95" s="199" t="s">
        <v>165</v>
      </c>
      <c r="G95" s="199" t="s">
        <v>166</v>
      </c>
      <c r="H95" s="199"/>
      <c r="I95" s="199" t="s">
        <v>167</v>
      </c>
      <c r="J95" s="199" t="s">
        <v>168</v>
      </c>
      <c r="K95" s="199" t="s">
        <v>169</v>
      </c>
      <c r="L95" s="199"/>
      <c r="M95" s="199" t="s">
        <v>170</v>
      </c>
      <c r="N95" s="199" t="s">
        <v>171</v>
      </c>
    </row>
    <row r="96" spans="2:15" ht="0.25" customHeight="1" x14ac:dyDescent="0.2">
      <c r="C96" s="198">
        <v>4</v>
      </c>
      <c r="D96" s="198"/>
      <c r="E96" s="200"/>
      <c r="F96" s="200"/>
      <c r="G96" s="200"/>
      <c r="H96" s="200"/>
      <c r="I96" s="200"/>
      <c r="J96" s="200"/>
      <c r="K96" s="200"/>
      <c r="L96" s="200"/>
      <c r="M96" s="200"/>
      <c r="N96" s="200"/>
    </row>
    <row r="97" spans="3:14" ht="0.25" customHeight="1" x14ac:dyDescent="0.2">
      <c r="C97" s="198"/>
      <c r="D97" s="198"/>
      <c r="E97" s="200" t="s">
        <v>18</v>
      </c>
      <c r="F97" s="200" t="s">
        <v>20</v>
      </c>
      <c r="G97" s="200" t="s">
        <v>22</v>
      </c>
      <c r="H97" s="200"/>
      <c r="I97" s="200" t="s">
        <v>24</v>
      </c>
      <c r="J97" s="200" t="s">
        <v>16</v>
      </c>
      <c r="K97" s="200" t="s">
        <v>23</v>
      </c>
      <c r="L97" s="200"/>
      <c r="M97" s="200" t="s">
        <v>21</v>
      </c>
      <c r="N97" s="200" t="s">
        <v>19</v>
      </c>
    </row>
    <row r="98" spans="3:14" ht="0.25" customHeight="1" x14ac:dyDescent="0.2">
      <c r="C98" s="198"/>
      <c r="D98" s="198"/>
      <c r="E98" s="200" t="s">
        <v>172</v>
      </c>
      <c r="F98" s="200" t="s">
        <v>173</v>
      </c>
      <c r="G98" s="200" t="s">
        <v>174</v>
      </c>
      <c r="H98" s="200"/>
      <c r="I98" s="200" t="s">
        <v>175</v>
      </c>
      <c r="J98" s="200" t="s">
        <v>176</v>
      </c>
      <c r="K98" s="200" t="s">
        <v>177</v>
      </c>
      <c r="L98" s="200"/>
      <c r="M98" s="200" t="s">
        <v>178</v>
      </c>
      <c r="N98" s="200" t="s">
        <v>179</v>
      </c>
    </row>
    <row r="99" spans="3:14" ht="0.25" customHeight="1" x14ac:dyDescent="0.2">
      <c r="C99" s="197">
        <v>5</v>
      </c>
      <c r="D99" s="197"/>
      <c r="E99" s="199"/>
      <c r="F99" s="199"/>
      <c r="G99" s="199"/>
      <c r="H99" s="199"/>
      <c r="I99" s="199"/>
      <c r="J99" s="199"/>
      <c r="K99" s="199"/>
      <c r="L99" s="199"/>
      <c r="M99" s="199"/>
      <c r="N99" s="199"/>
    </row>
    <row r="100" spans="3:14" ht="0.25" customHeight="1" x14ac:dyDescent="0.2">
      <c r="C100" s="197"/>
      <c r="D100" s="197"/>
      <c r="E100" s="199" t="s">
        <v>20</v>
      </c>
      <c r="F100" s="199" t="s">
        <v>18</v>
      </c>
      <c r="G100" s="199" t="s">
        <v>23</v>
      </c>
      <c r="H100" s="199"/>
      <c r="I100" s="199" t="s">
        <v>22</v>
      </c>
      <c r="J100" s="199" t="s">
        <v>19</v>
      </c>
      <c r="K100" s="199" t="s">
        <v>21</v>
      </c>
      <c r="L100" s="199"/>
      <c r="M100" s="199" t="s">
        <v>24</v>
      </c>
      <c r="N100" s="199" t="s">
        <v>16</v>
      </c>
    </row>
    <row r="101" spans="3:14" ht="0.25" customHeight="1" x14ac:dyDescent="0.2">
      <c r="C101" s="197"/>
      <c r="D101" s="197"/>
      <c r="E101" s="199" t="s">
        <v>180</v>
      </c>
      <c r="F101" s="199" t="s">
        <v>181</v>
      </c>
      <c r="G101" s="199" t="s">
        <v>182</v>
      </c>
      <c r="H101" s="199"/>
      <c r="I101" s="199" t="s">
        <v>183</v>
      </c>
      <c r="J101" s="199" t="s">
        <v>184</v>
      </c>
      <c r="K101" s="199" t="s">
        <v>185</v>
      </c>
      <c r="L101" s="199"/>
      <c r="M101" s="199" t="s">
        <v>186</v>
      </c>
      <c r="N101" s="199" t="s">
        <v>187</v>
      </c>
    </row>
    <row r="102" spans="3:14" ht="0.25" customHeight="1" x14ac:dyDescent="0.2">
      <c r="C102" s="198">
        <v>6</v>
      </c>
      <c r="D102" s="198"/>
      <c r="E102" s="200"/>
      <c r="F102" s="200"/>
      <c r="G102" s="200"/>
      <c r="H102" s="200"/>
      <c r="I102" s="200"/>
      <c r="J102" s="200"/>
      <c r="K102" s="200"/>
      <c r="L102" s="200"/>
      <c r="M102" s="200"/>
      <c r="N102" s="200"/>
    </row>
    <row r="103" spans="3:14" ht="0.25" customHeight="1" x14ac:dyDescent="0.2">
      <c r="C103" s="198"/>
      <c r="D103" s="198"/>
      <c r="E103" s="200" t="s">
        <v>23</v>
      </c>
      <c r="F103" s="200" t="s">
        <v>22</v>
      </c>
      <c r="G103" s="200" t="s">
        <v>20</v>
      </c>
      <c r="H103" s="200"/>
      <c r="I103" s="200" t="s">
        <v>19</v>
      </c>
      <c r="J103" s="200" t="s">
        <v>18</v>
      </c>
      <c r="K103" s="200" t="s">
        <v>24</v>
      </c>
      <c r="L103" s="200"/>
      <c r="M103" s="200" t="s">
        <v>16</v>
      </c>
      <c r="N103" s="200" t="s">
        <v>21</v>
      </c>
    </row>
    <row r="104" spans="3:14" ht="0.25" customHeight="1" x14ac:dyDescent="0.2">
      <c r="C104" s="198"/>
      <c r="D104" s="198"/>
      <c r="E104" s="200" t="s">
        <v>188</v>
      </c>
      <c r="F104" s="200" t="s">
        <v>189</v>
      </c>
      <c r="G104" s="200" t="s">
        <v>190</v>
      </c>
      <c r="H104" s="200"/>
      <c r="I104" s="200" t="s">
        <v>191</v>
      </c>
      <c r="J104" s="200" t="s">
        <v>192</v>
      </c>
      <c r="K104" s="200" t="s">
        <v>193</v>
      </c>
      <c r="L104" s="200"/>
      <c r="M104" s="200" t="s">
        <v>194</v>
      </c>
      <c r="N104" s="200" t="s">
        <v>195</v>
      </c>
    </row>
    <row r="105" spans="3:14" ht="0.25" customHeight="1" x14ac:dyDescent="0.2">
      <c r="C105" s="197">
        <v>7</v>
      </c>
      <c r="D105" s="197"/>
      <c r="E105" s="199"/>
      <c r="F105" s="199"/>
      <c r="G105" s="199"/>
      <c r="H105" s="199"/>
      <c r="I105" s="199"/>
      <c r="J105" s="199"/>
      <c r="K105" s="199"/>
      <c r="L105" s="199"/>
      <c r="M105" s="199"/>
      <c r="N105" s="199"/>
    </row>
    <row r="106" spans="3:14" ht="0.25" customHeight="1" x14ac:dyDescent="0.2">
      <c r="C106" s="197"/>
      <c r="D106" s="197"/>
      <c r="E106" s="199" t="s">
        <v>16</v>
      </c>
      <c r="F106" s="199" t="s">
        <v>21</v>
      </c>
      <c r="G106" s="199" t="s">
        <v>19</v>
      </c>
      <c r="H106" s="199"/>
      <c r="I106" s="199" t="s">
        <v>23</v>
      </c>
      <c r="J106" s="199" t="s">
        <v>24</v>
      </c>
      <c r="K106" s="199" t="s">
        <v>20</v>
      </c>
      <c r="L106" s="199"/>
      <c r="M106" s="199" t="s">
        <v>22</v>
      </c>
      <c r="N106" s="199" t="s">
        <v>18</v>
      </c>
    </row>
    <row r="107" spans="3:14" ht="0.25" customHeight="1" x14ac:dyDescent="0.2">
      <c r="C107" s="197"/>
      <c r="D107" s="197"/>
      <c r="E107" s="199" t="s">
        <v>196</v>
      </c>
      <c r="F107" s="199" t="s">
        <v>197</v>
      </c>
      <c r="G107" s="199" t="s">
        <v>198</v>
      </c>
      <c r="H107" s="199"/>
      <c r="I107" s="199" t="s">
        <v>199</v>
      </c>
      <c r="J107" s="199" t="s">
        <v>200</v>
      </c>
      <c r="K107" s="199" t="s">
        <v>201</v>
      </c>
      <c r="L107" s="199"/>
      <c r="M107" s="199" t="s">
        <v>202</v>
      </c>
      <c r="N107" s="199" t="s">
        <v>203</v>
      </c>
    </row>
    <row r="108" spans="3:14" ht="0.25" customHeight="1" x14ac:dyDescent="0.2"/>
  </sheetData>
  <sheetProtection selectLockedCells="1"/>
  <mergeCells count="158">
    <mergeCell ref="AT67:AW67"/>
    <mergeCell ref="AY67:BB67"/>
    <mergeCell ref="AT56:BB58"/>
    <mergeCell ref="AT13:BB24"/>
    <mergeCell ref="Y55:AQ57"/>
    <mergeCell ref="Y58:AQ60"/>
    <mergeCell ref="Y61:AQ63"/>
    <mergeCell ref="Y64:AQ66"/>
    <mergeCell ref="AU52:BA53"/>
    <mergeCell ref="AT48:AX51"/>
    <mergeCell ref="Y36:AN37"/>
    <mergeCell ref="Z29:AN29"/>
    <mergeCell ref="Z30:AN30"/>
    <mergeCell ref="Z31:AN32"/>
    <mergeCell ref="AP21:AQ21"/>
    <mergeCell ref="AP23:AQ23"/>
    <mergeCell ref="AP25:AQ25"/>
    <mergeCell ref="Z23:AN24"/>
    <mergeCell ref="Z25:AN26"/>
    <mergeCell ref="Y19:AN20"/>
    <mergeCell ref="AP17:AQ17"/>
    <mergeCell ref="AT47:BB47"/>
    <mergeCell ref="AT60:BB62"/>
    <mergeCell ref="AW38:BB39"/>
    <mergeCell ref="C9:R9"/>
    <mergeCell ref="C41:R41"/>
    <mergeCell ref="C23:R23"/>
    <mergeCell ref="C54:R54"/>
    <mergeCell ref="AT27:BB35"/>
    <mergeCell ref="Z49:AN49"/>
    <mergeCell ref="AP50:AQ50"/>
    <mergeCell ref="Z47:AN48"/>
    <mergeCell ref="AP44:AQ44"/>
    <mergeCell ref="Z46:AN46"/>
    <mergeCell ref="AP46:AQ46"/>
    <mergeCell ref="AP47:AQ47"/>
    <mergeCell ref="AP49:AQ49"/>
    <mergeCell ref="AP36:AQ36"/>
    <mergeCell ref="Z38:AN39"/>
    <mergeCell ref="AP38:AQ38"/>
    <mergeCell ref="Z40:AN41"/>
    <mergeCell ref="AP40:AQ40"/>
    <mergeCell ref="Z42:AN43"/>
    <mergeCell ref="AP42:AQ42"/>
    <mergeCell ref="Z27:AN28"/>
    <mergeCell ref="AP27:AQ27"/>
    <mergeCell ref="Z14:AN14"/>
    <mergeCell ref="Z17:AN17"/>
    <mergeCell ref="AP14:AQ14"/>
    <mergeCell ref="AP15:AQ15"/>
    <mergeCell ref="Z16:AN16"/>
    <mergeCell ref="AP16:AQ16"/>
    <mergeCell ref="T65:U65"/>
    <mergeCell ref="D58:R58"/>
    <mergeCell ref="D59:R60"/>
    <mergeCell ref="D64:R64"/>
    <mergeCell ref="D61:R62"/>
    <mergeCell ref="D65:R66"/>
    <mergeCell ref="AP31:AQ31"/>
    <mergeCell ref="Z33:AN34"/>
    <mergeCell ref="AP33:AQ33"/>
    <mergeCell ref="T61:U61"/>
    <mergeCell ref="D63:R63"/>
    <mergeCell ref="T63:U63"/>
    <mergeCell ref="T64:U64"/>
    <mergeCell ref="Z44:AN45"/>
    <mergeCell ref="Z50:AN51"/>
    <mergeCell ref="D56:R57"/>
    <mergeCell ref="T56:U56"/>
    <mergeCell ref="T58:U58"/>
    <mergeCell ref="T59:U59"/>
    <mergeCell ref="D55:R55"/>
    <mergeCell ref="T55:U55"/>
    <mergeCell ref="D36:R37"/>
    <mergeCell ref="D34:R35"/>
    <mergeCell ref="D38:R39"/>
    <mergeCell ref="T41:U41"/>
    <mergeCell ref="D42:R42"/>
    <mergeCell ref="T42:U42"/>
    <mergeCell ref="T43:U43"/>
    <mergeCell ref="T45:U45"/>
    <mergeCell ref="T50:U50"/>
    <mergeCell ref="T52:U52"/>
    <mergeCell ref="D43:R44"/>
    <mergeCell ref="D45:R46"/>
    <mergeCell ref="D47:R47"/>
    <mergeCell ref="D48:R48"/>
    <mergeCell ref="D49:R49"/>
    <mergeCell ref="D50:R51"/>
    <mergeCell ref="T47:U47"/>
    <mergeCell ref="T48:U48"/>
    <mergeCell ref="T49:U49"/>
    <mergeCell ref="D52:R52"/>
    <mergeCell ref="AT10:AV10"/>
    <mergeCell ref="AW10:BB10"/>
    <mergeCell ref="T10:U10"/>
    <mergeCell ref="T9:U9"/>
    <mergeCell ref="T11:U11"/>
    <mergeCell ref="T12:U12"/>
    <mergeCell ref="T13:U13"/>
    <mergeCell ref="AT12:BB12"/>
    <mergeCell ref="AP9:AQ9"/>
    <mergeCell ref="Z10:AN10"/>
    <mergeCell ref="AP10:AQ10"/>
    <mergeCell ref="AP11:AQ11"/>
    <mergeCell ref="Z12:AN12"/>
    <mergeCell ref="Z11:AN11"/>
    <mergeCell ref="Z13:AN13"/>
    <mergeCell ref="AP12:AQ12"/>
    <mergeCell ref="AP13:AQ13"/>
    <mergeCell ref="B2:G6"/>
    <mergeCell ref="AT2:BB4"/>
    <mergeCell ref="J6:N6"/>
    <mergeCell ref="AT6:BB6"/>
    <mergeCell ref="J2:AQ4"/>
    <mergeCell ref="O6:AQ6"/>
    <mergeCell ref="AT37:BB37"/>
    <mergeCell ref="AU38:AV38"/>
    <mergeCell ref="T54:U54"/>
    <mergeCell ref="AU40:AV40"/>
    <mergeCell ref="Z15:AN15"/>
    <mergeCell ref="Z21:AN22"/>
    <mergeCell ref="T34:U34"/>
    <mergeCell ref="AW43:BB44"/>
    <mergeCell ref="AT45:BB45"/>
    <mergeCell ref="T32:U32"/>
    <mergeCell ref="AT26:BB26"/>
    <mergeCell ref="AP29:AQ29"/>
    <mergeCell ref="AP30:AQ30"/>
    <mergeCell ref="AW40:BB42"/>
    <mergeCell ref="AU43:AV43"/>
    <mergeCell ref="AP19:AQ19"/>
    <mergeCell ref="AT8:AX8"/>
    <mergeCell ref="AY8:BB8"/>
    <mergeCell ref="D13:R14"/>
    <mergeCell ref="D12:R12"/>
    <mergeCell ref="D11:R11"/>
    <mergeCell ref="D10:R10"/>
    <mergeCell ref="D28:R29"/>
    <mergeCell ref="T36:U36"/>
    <mergeCell ref="T38:U38"/>
    <mergeCell ref="D26:R27"/>
    <mergeCell ref="D24:R25"/>
    <mergeCell ref="D30:R31"/>
    <mergeCell ref="D32:R33"/>
    <mergeCell ref="T23:U23"/>
    <mergeCell ref="T24:U24"/>
    <mergeCell ref="T26:U26"/>
    <mergeCell ref="T28:U28"/>
    <mergeCell ref="T30:U30"/>
    <mergeCell ref="T15:U15"/>
    <mergeCell ref="T17:U17"/>
    <mergeCell ref="T19:U19"/>
    <mergeCell ref="T20:U20"/>
    <mergeCell ref="D20:R21"/>
    <mergeCell ref="D19:R19"/>
    <mergeCell ref="D17:R18"/>
    <mergeCell ref="D15:R16"/>
  </mergeCells>
  <conditionalFormatting sqref="AS13">
    <cfRule type="cellIs" dxfId="65" priority="51" stopIfTrue="1" operator="equal">
      <formula>#REF!</formula>
    </cfRule>
  </conditionalFormatting>
  <conditionalFormatting sqref="AT6">
    <cfRule type="cellIs" dxfId="64" priority="44" operator="equal">
      <formula>$AU$7</formula>
    </cfRule>
    <cfRule type="cellIs" dxfId="63" priority="45" stopIfTrue="1" operator="equal">
      <formula>$AV$7</formula>
    </cfRule>
    <cfRule type="cellIs" dxfId="62" priority="46" stopIfTrue="1" operator="equal">
      <formula>$AW$7</formula>
    </cfRule>
    <cfRule type="cellIs" dxfId="61" priority="47" stopIfTrue="1" operator="equal">
      <formula>$AX$7</formula>
    </cfRule>
  </conditionalFormatting>
  <conditionalFormatting sqref="AT6:BB6">
    <cfRule type="cellIs" dxfId="60" priority="40" operator="equal">
      <formula>$BB$7</formula>
    </cfRule>
    <cfRule type="cellIs" dxfId="59" priority="41" operator="equal">
      <formula>$BA$7</formula>
    </cfRule>
    <cfRule type="cellIs" dxfId="58" priority="42" operator="equal">
      <formula>$AZ$7</formula>
    </cfRule>
    <cfRule type="cellIs" dxfId="57" priority="43" operator="equal">
      <formula>$AY$7</formula>
    </cfRule>
  </conditionalFormatting>
  <conditionalFormatting sqref="T9:U9">
    <cfRule type="cellIs" dxfId="56" priority="37" operator="equal">
      <formula>$AS$28</formula>
    </cfRule>
    <cfRule type="cellIs" dxfId="55" priority="38" operator="between">
      <formula>$AS$18</formula>
      <formula>$AS$27</formula>
    </cfRule>
    <cfRule type="cellIs" dxfId="54" priority="39" operator="greaterThan">
      <formula>$AS$28</formula>
    </cfRule>
  </conditionalFormatting>
  <conditionalFormatting sqref="T23:U23">
    <cfRule type="cellIs" dxfId="53" priority="34" operator="equal">
      <formula>$AS$28</formula>
    </cfRule>
    <cfRule type="cellIs" dxfId="52" priority="35" operator="between">
      <formula>$AS$18</formula>
      <formula>$AS$27</formula>
    </cfRule>
    <cfRule type="cellIs" dxfId="51" priority="36" operator="greaterThan">
      <formula>$AS$28</formula>
    </cfRule>
  </conditionalFormatting>
  <conditionalFormatting sqref="T41:U41">
    <cfRule type="cellIs" dxfId="50" priority="31" operator="equal">
      <formula>$AS$28</formula>
    </cfRule>
    <cfRule type="cellIs" dxfId="49" priority="32" operator="between">
      <formula>$AS$18</formula>
      <formula>$AS$27</formula>
    </cfRule>
    <cfRule type="cellIs" dxfId="48" priority="33" operator="greaterThan">
      <formula>$AS$28</formula>
    </cfRule>
  </conditionalFormatting>
  <conditionalFormatting sqref="AU38:AV38">
    <cfRule type="cellIs" dxfId="47" priority="28" operator="equal">
      <formula>$AS$28</formula>
    </cfRule>
    <cfRule type="cellIs" dxfId="46" priority="29" operator="between">
      <formula>$AS$18</formula>
      <formula>$AS$27</formula>
    </cfRule>
    <cfRule type="cellIs" dxfId="45" priority="30" operator="greaterThan">
      <formula>$AS$28</formula>
    </cfRule>
  </conditionalFormatting>
  <conditionalFormatting sqref="AU43:AV43">
    <cfRule type="cellIs" dxfId="44" priority="22" operator="equal">
      <formula>$AS$28</formula>
    </cfRule>
    <cfRule type="cellIs" dxfId="43" priority="23" operator="between">
      <formula>$AS$18</formula>
      <formula>$AS$27</formula>
    </cfRule>
    <cfRule type="cellIs" dxfId="42" priority="24" operator="greaterThan">
      <formula>$AS$28</formula>
    </cfRule>
  </conditionalFormatting>
  <conditionalFormatting sqref="AU40:AV40">
    <cfRule type="cellIs" dxfId="41" priority="19" operator="equal">
      <formula>$AS$28</formula>
    </cfRule>
    <cfRule type="cellIs" dxfId="40" priority="20" operator="between">
      <formula>$AS$18</formula>
      <formula>$AS$27</formula>
    </cfRule>
    <cfRule type="cellIs" dxfId="39" priority="21" operator="greaterThan">
      <formula>$AS$28</formula>
    </cfRule>
  </conditionalFormatting>
  <conditionalFormatting sqref="T54:U54">
    <cfRule type="cellIs" dxfId="38" priority="16" operator="equal">
      <formula>$AS$28</formula>
    </cfRule>
    <cfRule type="cellIs" dxfId="37" priority="17" operator="between">
      <formula>$AS$18</formula>
      <formula>$AS$27</formula>
    </cfRule>
    <cfRule type="cellIs" dxfId="36" priority="18" operator="greaterThan">
      <formula>$AS$28</formula>
    </cfRule>
  </conditionalFormatting>
  <conditionalFormatting sqref="AP9:AQ9">
    <cfRule type="cellIs" dxfId="35" priority="13" operator="equal">
      <formula>$AS$28</formula>
    </cfRule>
    <cfRule type="cellIs" dxfId="34" priority="14" operator="between">
      <formula>$AS$18</formula>
      <formula>$AS$27</formula>
    </cfRule>
    <cfRule type="cellIs" dxfId="33" priority="15" operator="greaterThan">
      <formula>$AS$28</formula>
    </cfRule>
  </conditionalFormatting>
  <conditionalFormatting sqref="AP19:AQ19">
    <cfRule type="cellIs" dxfId="32" priority="10" operator="equal">
      <formula>$AS$28</formula>
    </cfRule>
    <cfRule type="cellIs" dxfId="31" priority="11" operator="between">
      <formula>$AS$18</formula>
      <formula>$AS$27</formula>
    </cfRule>
    <cfRule type="cellIs" dxfId="30" priority="12" operator="greaterThan">
      <formula>$AS$28</formula>
    </cfRule>
  </conditionalFormatting>
  <conditionalFormatting sqref="AP36:AQ36">
    <cfRule type="cellIs" dxfId="29" priority="7" operator="equal">
      <formula>$AS$28</formula>
    </cfRule>
    <cfRule type="cellIs" dxfId="28" priority="8" operator="between">
      <formula>$AS$18</formula>
      <formula>$AS$27</formula>
    </cfRule>
    <cfRule type="cellIs" dxfId="27" priority="9" operator="greaterThan">
      <formula>$AS$28</formula>
    </cfRule>
  </conditionalFormatting>
  <conditionalFormatting sqref="O6">
    <cfRule type="cellIs" dxfId="26" priority="3" stopIfTrue="1" operator="equal">
      <formula>#REF!</formula>
    </cfRule>
  </conditionalFormatting>
  <conditionalFormatting sqref="O6">
    <cfRule type="cellIs" dxfId="25" priority="2" stopIfTrue="1" operator="equal">
      <formula>#REF!</formula>
    </cfRule>
  </conditionalFormatting>
  <conditionalFormatting sqref="O6">
    <cfRule type="cellIs" dxfId="24" priority="1" stopIfTrue="1" operator="equal">
      <formula>#REF!</formula>
    </cfRule>
  </conditionalFormatting>
  <dataValidations count="2">
    <dataValidation type="list" allowBlank="1" showInputMessage="1" showErrorMessage="1" sqref="AT6:BB6" xr:uid="{00000000-0002-0000-0000-000000000000}">
      <formula1>$AT$7:$BB$7</formula1>
    </dataValidation>
    <dataValidation type="list" allowBlank="1" showInputMessage="1" showErrorMessage="1" sqref="T10:U13 T15:U15 T17:U17 T19:U20 T32:U32 T34:U34 T24:U24 T26:U26 T28:U28 T30:U30 T36:U36 T38:U38 T42:U43 T45:U45 T47:U50 T52:U52 T55:U56 T63:U65 T58:U59 T61:U61 AP10:AQ17 AP21:AQ21 AP23:AQ23 AP25:AQ25 AP27:AQ27 AP33:AQ33 AP29:AQ31 AP38:AQ38 AP40:AQ40 AP42:AQ42 AP44:AQ44 AP49:AQ50 AP46:AQ47" xr:uid="{00000000-0002-0000-0000-000001000000}">
      <formula1>$AS$18:$AS$28</formula1>
    </dataValidation>
  </dataValidations>
  <hyperlinks>
    <hyperlink ref="AU52" r:id="rId1" xr:uid="{00000000-0004-0000-0000-000000000000}"/>
    <hyperlink ref="AT56:BB58" location="'Team Roles Profile'!A1" display="'Team Roles Profile'!A1" xr:uid="{00000000-0004-0000-0000-000001000000}"/>
  </hyperlinks>
  <printOptions horizontalCentered="1" verticalCentered="1"/>
  <pageMargins left="0.78740157480314965" right="0.19685039370078741" top="0.19685039370078741" bottom="0.19685039370078741" header="0" footer="0"/>
  <pageSetup paperSize="8" scale="97"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tint="-0.249977111117893"/>
    <pageSetUpPr fitToPage="1"/>
  </sheetPr>
  <dimension ref="B1:BH68"/>
  <sheetViews>
    <sheetView showGridLines="0" showZeros="0" tabSelected="1" topLeftCell="E8" zoomScaleNormal="100" zoomScaleSheetLayoutView="100" workbookViewId="0">
      <selection activeCell="Y26" sqref="Y26:Z33"/>
    </sheetView>
  </sheetViews>
  <sheetFormatPr baseColWidth="10" defaultColWidth="3.6640625" defaultRowHeight="15" x14ac:dyDescent="0.2"/>
  <cols>
    <col min="1" max="1" width="3.6640625" style="4"/>
    <col min="2" max="2" width="1.6640625" style="4" customWidth="1"/>
    <col min="3" max="35" width="3.6640625" style="49" customWidth="1"/>
    <col min="36" max="55" width="3.6640625" style="4" customWidth="1"/>
    <col min="56" max="56" width="1.6640625" style="4" customWidth="1"/>
    <col min="57" max="16384" width="3.6640625" style="4"/>
  </cols>
  <sheetData>
    <row r="1" spans="2:56" ht="16" thickBot="1" x14ac:dyDescent="0.25"/>
    <row r="2" spans="2:56" ht="9" customHeight="1" thickTop="1" thickBot="1" x14ac:dyDescent="0.25">
      <c r="B2" s="1"/>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3"/>
    </row>
    <row r="3" spans="2:56" s="8" customFormat="1" ht="18" customHeight="1" thickTop="1" x14ac:dyDescent="0.15">
      <c r="B3" s="5"/>
      <c r="C3" s="209"/>
      <c r="D3" s="209"/>
      <c r="E3" s="209"/>
      <c r="F3" s="209"/>
      <c r="G3" s="209"/>
      <c r="H3" s="209"/>
      <c r="I3" s="6"/>
      <c r="J3" s="6"/>
      <c r="K3" s="217" t="str">
        <f>Belbin!J2</f>
        <v xml:space="preserve">  
Principles of Project Management (DA) (2020)</v>
      </c>
      <c r="L3" s="218"/>
      <c r="M3" s="218"/>
      <c r="N3" s="218"/>
      <c r="O3" s="218"/>
      <c r="P3" s="218"/>
      <c r="Q3" s="218"/>
      <c r="R3" s="218"/>
      <c r="S3" s="218"/>
      <c r="T3" s="218"/>
      <c r="U3" s="218"/>
      <c r="V3" s="218"/>
      <c r="W3" s="218"/>
      <c r="X3" s="218"/>
      <c r="Y3" s="218"/>
      <c r="Z3" s="218"/>
      <c r="AA3" s="218"/>
      <c r="AB3" s="218"/>
      <c r="AC3" s="218"/>
      <c r="AD3" s="218"/>
      <c r="AE3" s="218"/>
      <c r="AF3" s="218"/>
      <c r="AG3" s="218"/>
      <c r="AH3" s="218"/>
      <c r="AI3" s="218"/>
      <c r="AJ3" s="218"/>
      <c r="AK3" s="218"/>
      <c r="AL3" s="218"/>
      <c r="AM3" s="218"/>
      <c r="AN3" s="218"/>
      <c r="AO3" s="218"/>
      <c r="AP3" s="218"/>
      <c r="AQ3" s="218"/>
      <c r="AR3" s="219"/>
      <c r="AS3" s="6"/>
      <c r="AT3" s="6"/>
      <c r="AU3" s="210" t="s">
        <v>126</v>
      </c>
      <c r="AV3" s="211"/>
      <c r="AW3" s="211"/>
      <c r="AX3" s="211"/>
      <c r="AY3" s="211"/>
      <c r="AZ3" s="211"/>
      <c r="BA3" s="211"/>
      <c r="BB3" s="211"/>
      <c r="BC3" s="211"/>
      <c r="BD3" s="7"/>
    </row>
    <row r="4" spans="2:56" s="11" customFormat="1" ht="18" customHeight="1" x14ac:dyDescent="0.15">
      <c r="B4" s="5"/>
      <c r="C4" s="209"/>
      <c r="D4" s="209"/>
      <c r="E4" s="209"/>
      <c r="F4" s="209"/>
      <c r="G4" s="209"/>
      <c r="H4" s="209"/>
      <c r="I4" s="9"/>
      <c r="J4" s="9"/>
      <c r="K4" s="220"/>
      <c r="L4" s="221"/>
      <c r="M4" s="221"/>
      <c r="N4" s="221"/>
      <c r="O4" s="221"/>
      <c r="P4" s="221"/>
      <c r="Q4" s="221"/>
      <c r="R4" s="221"/>
      <c r="S4" s="221"/>
      <c r="T4" s="221"/>
      <c r="U4" s="221"/>
      <c r="V4" s="221"/>
      <c r="W4" s="221"/>
      <c r="X4" s="221"/>
      <c r="Y4" s="221"/>
      <c r="Z4" s="221"/>
      <c r="AA4" s="221"/>
      <c r="AB4" s="221"/>
      <c r="AC4" s="221"/>
      <c r="AD4" s="221"/>
      <c r="AE4" s="221"/>
      <c r="AF4" s="221"/>
      <c r="AG4" s="221"/>
      <c r="AH4" s="221"/>
      <c r="AI4" s="221"/>
      <c r="AJ4" s="221"/>
      <c r="AK4" s="221"/>
      <c r="AL4" s="221"/>
      <c r="AM4" s="221"/>
      <c r="AN4" s="221"/>
      <c r="AO4" s="221"/>
      <c r="AP4" s="221"/>
      <c r="AQ4" s="221"/>
      <c r="AR4" s="222"/>
      <c r="AS4" s="10"/>
      <c r="AT4" s="10"/>
      <c r="AU4" s="211"/>
      <c r="AV4" s="211"/>
      <c r="AW4" s="211"/>
      <c r="AX4" s="211"/>
      <c r="AY4" s="211"/>
      <c r="AZ4" s="211"/>
      <c r="BA4" s="211"/>
      <c r="BB4" s="211"/>
      <c r="BC4" s="211"/>
      <c r="BD4" s="7"/>
    </row>
    <row r="5" spans="2:56" s="13" customFormat="1" ht="18" customHeight="1" x14ac:dyDescent="0.15">
      <c r="B5" s="5"/>
      <c r="C5" s="209"/>
      <c r="D5" s="209"/>
      <c r="E5" s="209"/>
      <c r="F5" s="209"/>
      <c r="G5" s="209"/>
      <c r="H5" s="209"/>
      <c r="I5" s="12"/>
      <c r="J5" s="12"/>
      <c r="K5" s="223"/>
      <c r="L5" s="224"/>
      <c r="M5" s="224"/>
      <c r="N5" s="224"/>
      <c r="O5" s="224"/>
      <c r="P5" s="224"/>
      <c r="Q5" s="224"/>
      <c r="R5" s="224"/>
      <c r="S5" s="224"/>
      <c r="T5" s="224"/>
      <c r="U5" s="224"/>
      <c r="V5" s="224"/>
      <c r="W5" s="224"/>
      <c r="X5" s="224"/>
      <c r="Y5" s="224"/>
      <c r="Z5" s="224"/>
      <c r="AA5" s="224"/>
      <c r="AB5" s="224"/>
      <c r="AC5" s="224"/>
      <c r="AD5" s="224"/>
      <c r="AE5" s="224"/>
      <c r="AF5" s="224"/>
      <c r="AG5" s="224"/>
      <c r="AH5" s="224"/>
      <c r="AI5" s="224"/>
      <c r="AJ5" s="224"/>
      <c r="AK5" s="224"/>
      <c r="AL5" s="224"/>
      <c r="AM5" s="224"/>
      <c r="AN5" s="224"/>
      <c r="AO5" s="224"/>
      <c r="AP5" s="224"/>
      <c r="AQ5" s="224"/>
      <c r="AR5" s="225"/>
      <c r="AS5" s="12"/>
      <c r="AT5" s="12"/>
      <c r="AU5" s="211"/>
      <c r="AV5" s="211"/>
      <c r="AW5" s="211"/>
      <c r="AX5" s="211"/>
      <c r="AY5" s="211"/>
      <c r="AZ5" s="211"/>
      <c r="BA5" s="211"/>
      <c r="BB5" s="211"/>
      <c r="BC5" s="211"/>
      <c r="BD5" s="7"/>
    </row>
    <row r="6" spans="2:56" s="13" customFormat="1" ht="9" customHeight="1" thickBot="1" x14ac:dyDescent="0.25">
      <c r="B6" s="5"/>
      <c r="C6" s="209"/>
      <c r="D6" s="209"/>
      <c r="E6" s="209"/>
      <c r="F6" s="209"/>
      <c r="G6" s="209"/>
      <c r="H6" s="209"/>
      <c r="I6" s="12"/>
      <c r="J6" s="12"/>
      <c r="K6" s="14"/>
      <c r="L6" s="15"/>
      <c r="M6" s="15"/>
      <c r="N6" s="15"/>
      <c r="O6" s="15"/>
      <c r="P6" s="15"/>
      <c r="Q6" s="15"/>
      <c r="R6" s="15"/>
      <c r="S6" s="15"/>
      <c r="T6" s="15"/>
      <c r="U6" s="15"/>
      <c r="V6" s="15"/>
      <c r="W6" s="15"/>
      <c r="X6" s="15"/>
      <c r="Y6" s="15"/>
      <c r="Z6" s="15"/>
      <c r="AA6" s="15"/>
      <c r="AB6" s="16"/>
      <c r="AC6" s="16"/>
      <c r="AD6" s="16"/>
      <c r="AE6" s="16"/>
      <c r="AF6" s="16"/>
      <c r="AG6" s="15"/>
      <c r="AH6" s="15"/>
      <c r="AI6" s="15"/>
      <c r="AJ6" s="15"/>
      <c r="AK6" s="15"/>
      <c r="AL6" s="15"/>
      <c r="AM6" s="15"/>
      <c r="AN6" s="15"/>
      <c r="AO6" s="15"/>
      <c r="AP6" s="15"/>
      <c r="AQ6" s="15"/>
      <c r="AR6" s="17"/>
      <c r="AS6" s="12"/>
      <c r="AT6" s="12"/>
      <c r="AU6" s="12"/>
      <c r="AV6" s="12"/>
      <c r="AW6" s="18"/>
      <c r="AX6" s="18"/>
      <c r="AY6" s="18"/>
      <c r="AZ6" s="18"/>
      <c r="BA6" s="18"/>
      <c r="BB6" s="18"/>
      <c r="BC6" s="18"/>
      <c r="BD6" s="7"/>
    </row>
    <row r="7" spans="2:56" s="13" customFormat="1" ht="18" customHeight="1" thickTop="1" thickBot="1" x14ac:dyDescent="0.2">
      <c r="B7" s="5"/>
      <c r="C7" s="209"/>
      <c r="D7" s="209"/>
      <c r="E7" s="209"/>
      <c r="F7" s="209"/>
      <c r="G7" s="209"/>
      <c r="H7" s="209"/>
      <c r="I7" s="19"/>
      <c r="J7" s="19"/>
      <c r="K7" s="212" t="s">
        <v>211</v>
      </c>
      <c r="L7" s="213"/>
      <c r="M7" s="213"/>
      <c r="N7" s="213"/>
      <c r="O7" s="213"/>
      <c r="P7" s="226">
        <f>Belbin!O6</f>
        <v>0</v>
      </c>
      <c r="Q7" s="226"/>
      <c r="R7" s="226"/>
      <c r="S7" s="226"/>
      <c r="T7" s="226"/>
      <c r="U7" s="226"/>
      <c r="V7" s="226"/>
      <c r="W7" s="226"/>
      <c r="X7" s="226"/>
      <c r="Y7" s="226"/>
      <c r="Z7" s="226"/>
      <c r="AA7" s="226"/>
      <c r="AB7" s="227"/>
      <c r="AC7" s="227"/>
      <c r="AD7" s="227"/>
      <c r="AE7" s="227"/>
      <c r="AF7" s="227"/>
      <c r="AG7" s="227"/>
      <c r="AH7" s="227"/>
      <c r="AI7" s="227"/>
      <c r="AJ7" s="227"/>
      <c r="AK7" s="227"/>
      <c r="AL7" s="227"/>
      <c r="AM7" s="227"/>
      <c r="AN7" s="227"/>
      <c r="AO7" s="227"/>
      <c r="AP7" s="227"/>
      <c r="AQ7" s="227"/>
      <c r="AR7" s="228"/>
      <c r="AS7" s="19"/>
      <c r="AT7" s="12"/>
      <c r="AU7" s="214" t="s">
        <v>0</v>
      </c>
      <c r="AV7" s="215"/>
      <c r="AW7" s="215"/>
      <c r="AX7" s="215"/>
      <c r="AY7" s="215"/>
      <c r="AZ7" s="215"/>
      <c r="BA7" s="215"/>
      <c r="BB7" s="215"/>
      <c r="BC7" s="216"/>
      <c r="BD7" s="7"/>
    </row>
    <row r="8" spans="2:56" s="13" customFormat="1" ht="9" customHeight="1" thickTop="1" thickBot="1" x14ac:dyDescent="0.2">
      <c r="B8" s="5"/>
      <c r="C8" s="12"/>
      <c r="D8" s="12"/>
      <c r="E8" s="20"/>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21" t="s">
        <v>1</v>
      </c>
      <c r="AV8" s="21" t="s">
        <v>2</v>
      </c>
      <c r="AW8" s="21" t="s">
        <v>3</v>
      </c>
      <c r="AX8" s="21" t="s">
        <v>4</v>
      </c>
      <c r="AY8" s="21" t="s">
        <v>5</v>
      </c>
      <c r="AZ8" s="21" t="s">
        <v>6</v>
      </c>
      <c r="BA8" s="21" t="s">
        <v>0</v>
      </c>
      <c r="BB8" s="21" t="s">
        <v>7</v>
      </c>
      <c r="BC8" s="21" t="s">
        <v>8</v>
      </c>
      <c r="BD8" s="7"/>
    </row>
    <row r="9" spans="2:56" s="23" customFormat="1" ht="18" customHeight="1" thickTop="1" thickBot="1" x14ac:dyDescent="0.25">
      <c r="B9" s="22"/>
      <c r="C9" s="124"/>
      <c r="D9" s="129"/>
      <c r="E9" s="129"/>
      <c r="F9" s="129"/>
      <c r="G9" s="129"/>
      <c r="H9" s="129"/>
      <c r="I9" s="129"/>
      <c r="J9" s="129"/>
      <c r="K9" s="129"/>
      <c r="L9" s="129"/>
      <c r="M9" s="129"/>
      <c r="N9" s="129"/>
      <c r="O9" s="129"/>
      <c r="P9" s="129"/>
      <c r="Q9" s="129"/>
      <c r="R9" s="129"/>
      <c r="S9" s="129"/>
      <c r="T9" s="129"/>
      <c r="U9" s="129"/>
      <c r="V9" s="129"/>
      <c r="W9" s="60"/>
      <c r="X9" s="61"/>
      <c r="Y9" s="143"/>
      <c r="Z9" s="115"/>
      <c r="AA9" s="115"/>
      <c r="AB9" s="115"/>
      <c r="AC9" s="115"/>
      <c r="AD9" s="115"/>
      <c r="AE9" s="115"/>
      <c r="AF9" s="115"/>
      <c r="AG9" s="115"/>
      <c r="AH9" s="115"/>
      <c r="AI9" s="115"/>
      <c r="AJ9" s="115"/>
      <c r="AK9" s="115"/>
      <c r="AL9" s="115"/>
      <c r="AM9" s="115"/>
      <c r="AN9" s="115"/>
      <c r="AO9" s="115"/>
      <c r="AP9" s="115"/>
      <c r="AQ9" s="115"/>
      <c r="AR9" s="115"/>
      <c r="AS9" s="116"/>
      <c r="AU9" s="241"/>
      <c r="AV9" s="242"/>
      <c r="AW9" s="242"/>
      <c r="AX9" s="242"/>
      <c r="AY9" s="242"/>
      <c r="AZ9" s="243"/>
      <c r="BA9" s="244"/>
      <c r="BB9" s="244"/>
      <c r="BC9" s="245"/>
      <c r="BD9" s="24"/>
    </row>
    <row r="10" spans="2:56" s="25" customFormat="1" ht="18" customHeight="1" thickTop="1" thickBot="1" x14ac:dyDescent="0.2">
      <c r="B10" s="22"/>
      <c r="C10" s="300" t="s">
        <v>114</v>
      </c>
      <c r="D10" s="301"/>
      <c r="E10" s="301"/>
      <c r="F10" s="301"/>
      <c r="G10" s="301"/>
      <c r="H10" s="301"/>
      <c r="I10" s="301"/>
      <c r="J10" s="301"/>
      <c r="K10" s="301"/>
      <c r="W10" s="144"/>
      <c r="X10" s="61"/>
      <c r="Y10" s="117"/>
      <c r="Z10" s="109"/>
      <c r="AA10" s="109"/>
      <c r="AB10" s="110"/>
      <c r="AC10" s="110"/>
      <c r="AD10" s="110"/>
      <c r="AE10" s="110"/>
      <c r="AF10" s="110"/>
      <c r="AG10" s="110"/>
      <c r="AH10" s="110"/>
      <c r="AI10" s="110"/>
      <c r="AJ10" s="110"/>
      <c r="AK10" s="110"/>
      <c r="AL10" s="110"/>
      <c r="AM10" s="110"/>
      <c r="AN10" s="110"/>
      <c r="AO10" s="110"/>
      <c r="AP10" s="110"/>
      <c r="AQ10" s="111"/>
      <c r="AR10" s="111"/>
      <c r="AS10" s="74"/>
      <c r="AY10" s="26"/>
      <c r="AZ10" s="26"/>
      <c r="BA10" s="20"/>
      <c r="BB10" s="20"/>
      <c r="BC10" s="20"/>
      <c r="BD10" s="24"/>
    </row>
    <row r="11" spans="2:56" s="23" customFormat="1" ht="18" customHeight="1" thickTop="1" thickBot="1" x14ac:dyDescent="0.2">
      <c r="B11" s="22"/>
      <c r="C11" s="27"/>
      <c r="W11" s="28"/>
      <c r="Y11" s="27"/>
      <c r="AS11" s="74"/>
      <c r="AU11" s="246" t="s">
        <v>9</v>
      </c>
      <c r="AV11" s="247"/>
      <c r="AW11" s="247"/>
      <c r="AX11" s="248" t="s">
        <v>10</v>
      </c>
      <c r="AY11" s="249"/>
      <c r="AZ11" s="249"/>
      <c r="BA11" s="249"/>
      <c r="BB11" s="249"/>
      <c r="BC11" s="250"/>
      <c r="BD11" s="24"/>
    </row>
    <row r="12" spans="2:56" s="31" customFormat="1" ht="18" customHeight="1" thickTop="1" thickBot="1" x14ac:dyDescent="0.25">
      <c r="B12" s="22"/>
      <c r="C12" s="87"/>
      <c r="D12" s="296" t="s">
        <v>104</v>
      </c>
      <c r="E12" s="297"/>
      <c r="F12" s="297"/>
      <c r="G12" s="297"/>
      <c r="H12" s="297"/>
      <c r="I12" s="297"/>
      <c r="J12" s="297"/>
      <c r="K12" s="297"/>
      <c r="L12" s="297"/>
      <c r="M12" s="297"/>
      <c r="N12" s="297"/>
      <c r="O12" s="297"/>
      <c r="P12" s="297"/>
      <c r="Q12" s="297"/>
      <c r="R12" s="297"/>
      <c r="S12" s="297"/>
      <c r="T12" s="297"/>
      <c r="U12" s="297"/>
      <c r="V12" s="297"/>
      <c r="W12" s="56"/>
      <c r="Y12" s="32"/>
      <c r="AS12" s="74"/>
      <c r="AT12" s="29"/>
      <c r="AU12" s="29"/>
      <c r="AV12" s="29"/>
      <c r="AW12" s="29"/>
      <c r="AX12" s="29"/>
      <c r="AY12" s="29"/>
      <c r="BD12" s="24"/>
    </row>
    <row r="13" spans="2:56" s="31" customFormat="1" ht="18" customHeight="1" thickTop="1" x14ac:dyDescent="0.2">
      <c r="B13" s="22"/>
      <c r="C13" s="57"/>
      <c r="D13" s="81"/>
      <c r="E13" s="81"/>
      <c r="F13" s="81"/>
      <c r="G13" s="81"/>
      <c r="H13" s="81"/>
      <c r="I13" s="81"/>
      <c r="J13" s="81"/>
      <c r="K13" s="81"/>
      <c r="L13" s="81"/>
      <c r="M13" s="81"/>
      <c r="N13" s="81"/>
      <c r="O13" s="81"/>
      <c r="P13" s="81"/>
      <c r="Q13" s="81"/>
      <c r="R13" s="81"/>
      <c r="S13" s="81"/>
      <c r="T13" s="81"/>
      <c r="U13" s="81"/>
      <c r="V13" s="81"/>
      <c r="W13" s="56"/>
      <c r="Y13" s="32"/>
      <c r="AS13" s="74"/>
      <c r="AT13" s="20"/>
      <c r="AU13" s="229" t="s">
        <v>113</v>
      </c>
      <c r="AV13" s="230"/>
      <c r="AW13" s="230"/>
      <c r="AX13" s="230"/>
      <c r="AY13" s="230"/>
      <c r="AZ13" s="230"/>
      <c r="BA13" s="230"/>
      <c r="BB13" s="230"/>
      <c r="BC13" s="231"/>
      <c r="BD13" s="24"/>
    </row>
    <row r="14" spans="2:56" s="31" customFormat="1" ht="18" customHeight="1" x14ac:dyDescent="0.2">
      <c r="B14" s="22"/>
      <c r="C14" s="57"/>
      <c r="D14" s="298" t="s">
        <v>93</v>
      </c>
      <c r="E14" s="299"/>
      <c r="F14" s="299"/>
      <c r="G14" s="299"/>
      <c r="H14" s="299"/>
      <c r="I14" s="81"/>
      <c r="J14" s="81"/>
      <c r="K14" s="298" t="s">
        <v>94</v>
      </c>
      <c r="L14" s="299"/>
      <c r="M14" s="299"/>
      <c r="N14" s="299"/>
      <c r="O14" s="299"/>
      <c r="P14" s="81"/>
      <c r="Q14" s="81"/>
      <c r="R14" s="298" t="s">
        <v>97</v>
      </c>
      <c r="S14" s="299"/>
      <c r="T14" s="299"/>
      <c r="U14" s="299"/>
      <c r="V14" s="299"/>
      <c r="W14" s="56"/>
      <c r="Y14" s="32"/>
      <c r="AS14" s="74"/>
      <c r="AT14" s="33"/>
      <c r="AU14" s="274" t="s">
        <v>116</v>
      </c>
      <c r="AV14" s="233"/>
      <c r="AW14" s="233"/>
      <c r="AX14" s="233"/>
      <c r="AY14" s="233"/>
      <c r="AZ14" s="233"/>
      <c r="BA14" s="233"/>
      <c r="BB14" s="233"/>
      <c r="BC14" s="234"/>
      <c r="BD14" s="24"/>
    </row>
    <row r="15" spans="2:56" s="31" customFormat="1" ht="18" customHeight="1" x14ac:dyDescent="0.2">
      <c r="B15" s="22"/>
      <c r="C15" s="57"/>
      <c r="D15" s="323">
        <f>P51</f>
        <v>9</v>
      </c>
      <c r="E15" s="299"/>
      <c r="F15" s="299"/>
      <c r="G15" s="299"/>
      <c r="H15" s="299"/>
      <c r="I15" s="98"/>
      <c r="J15" s="98"/>
      <c r="K15" s="323">
        <f>P52</f>
        <v>8</v>
      </c>
      <c r="L15" s="299"/>
      <c r="M15" s="299"/>
      <c r="N15" s="299"/>
      <c r="O15" s="299"/>
      <c r="P15" s="98"/>
      <c r="Q15" s="98"/>
      <c r="R15" s="323">
        <f>P53</f>
        <v>4</v>
      </c>
      <c r="S15" s="299"/>
      <c r="T15" s="299"/>
      <c r="U15" s="299"/>
      <c r="V15" s="299"/>
      <c r="W15" s="56"/>
      <c r="Y15" s="32"/>
      <c r="AS15" s="74"/>
      <c r="AT15" s="34"/>
      <c r="AU15" s="275"/>
      <c r="AV15" s="233"/>
      <c r="AW15" s="233"/>
      <c r="AX15" s="233"/>
      <c r="AY15" s="233"/>
      <c r="AZ15" s="233"/>
      <c r="BA15" s="233"/>
      <c r="BB15" s="233"/>
      <c r="BC15" s="234"/>
      <c r="BD15" s="24"/>
    </row>
    <row r="16" spans="2:56" s="31" customFormat="1" ht="18" customHeight="1" x14ac:dyDescent="0.2">
      <c r="B16" s="22"/>
      <c r="C16" s="87"/>
      <c r="D16" s="37"/>
      <c r="E16" s="37"/>
      <c r="F16" s="37"/>
      <c r="G16" s="37"/>
      <c r="H16" s="37"/>
      <c r="I16" s="37"/>
      <c r="J16" s="37"/>
      <c r="K16" s="37"/>
      <c r="L16" s="37"/>
      <c r="M16" s="37"/>
      <c r="N16" s="37"/>
      <c r="O16" s="37"/>
      <c r="P16" s="37"/>
      <c r="Q16" s="37"/>
      <c r="R16" s="37"/>
      <c r="S16" s="37"/>
      <c r="T16" s="37"/>
      <c r="U16" s="37"/>
      <c r="V16" s="37"/>
      <c r="W16" s="56"/>
      <c r="Y16" s="32"/>
      <c r="AS16" s="74"/>
      <c r="AT16" s="34"/>
      <c r="AU16" s="275"/>
      <c r="AV16" s="233"/>
      <c r="AW16" s="233"/>
      <c r="AX16" s="233"/>
      <c r="AY16" s="233"/>
      <c r="AZ16" s="233"/>
      <c r="BA16" s="233"/>
      <c r="BB16" s="233"/>
      <c r="BC16" s="234"/>
      <c r="BD16" s="24"/>
    </row>
    <row r="17" spans="2:56" s="31" customFormat="1" ht="18" customHeight="1" x14ac:dyDescent="0.2">
      <c r="B17" s="22"/>
      <c r="C17" s="87"/>
      <c r="D17" s="324" t="s">
        <v>103</v>
      </c>
      <c r="E17" s="325"/>
      <c r="F17" s="325"/>
      <c r="G17" s="325"/>
      <c r="H17" s="325"/>
      <c r="I17" s="325"/>
      <c r="J17" s="325"/>
      <c r="K17" s="325"/>
      <c r="L17" s="325"/>
      <c r="M17" s="325"/>
      <c r="N17" s="325"/>
      <c r="O17" s="325"/>
      <c r="P17" s="325"/>
      <c r="Q17" s="325"/>
      <c r="R17" s="325"/>
      <c r="S17" s="325"/>
      <c r="T17" s="325"/>
      <c r="U17" s="325"/>
      <c r="V17" s="325"/>
      <c r="W17" s="56"/>
      <c r="Y17" s="32"/>
      <c r="AS17" s="74"/>
      <c r="AT17" s="34"/>
      <c r="AU17" s="275"/>
      <c r="AV17" s="233"/>
      <c r="AW17" s="233"/>
      <c r="AX17" s="233"/>
      <c r="AY17" s="233"/>
      <c r="AZ17" s="233"/>
      <c r="BA17" s="233"/>
      <c r="BB17" s="233"/>
      <c r="BC17" s="234"/>
      <c r="BD17" s="24"/>
    </row>
    <row r="18" spans="2:56" s="31" customFormat="1" ht="18" customHeight="1" x14ac:dyDescent="0.2">
      <c r="B18" s="22"/>
      <c r="C18" s="87"/>
      <c r="D18" s="84"/>
      <c r="E18" s="84"/>
      <c r="F18" s="84"/>
      <c r="G18" s="84"/>
      <c r="H18" s="84"/>
      <c r="I18" s="84"/>
      <c r="J18" s="84"/>
      <c r="K18" s="84"/>
      <c r="L18" s="84"/>
      <c r="M18" s="84"/>
      <c r="N18" s="84"/>
      <c r="O18" s="84"/>
      <c r="P18" s="84"/>
      <c r="Q18" s="84"/>
      <c r="R18" s="84"/>
      <c r="S18" s="84"/>
      <c r="T18" s="84"/>
      <c r="U18" s="84"/>
      <c r="V18" s="84"/>
      <c r="W18" s="56"/>
      <c r="Y18" s="32"/>
      <c r="AS18" s="74"/>
      <c r="AT18" s="34"/>
      <c r="AU18" s="275"/>
      <c r="AV18" s="233"/>
      <c r="AW18" s="233"/>
      <c r="AX18" s="233"/>
      <c r="AY18" s="233"/>
      <c r="AZ18" s="233"/>
      <c r="BA18" s="233"/>
      <c r="BB18" s="233"/>
      <c r="BC18" s="234"/>
      <c r="BD18" s="24"/>
    </row>
    <row r="19" spans="2:56" s="31" customFormat="1" ht="18" customHeight="1" x14ac:dyDescent="0.2">
      <c r="B19" s="22"/>
      <c r="C19" s="87"/>
      <c r="D19" s="311" t="s">
        <v>98</v>
      </c>
      <c r="E19" s="308"/>
      <c r="F19" s="308"/>
      <c r="G19" s="308"/>
      <c r="H19" s="308"/>
      <c r="I19" s="84"/>
      <c r="J19" s="84"/>
      <c r="K19" s="311" t="s">
        <v>95</v>
      </c>
      <c r="L19" s="308"/>
      <c r="M19" s="308"/>
      <c r="N19" s="308"/>
      <c r="O19" s="308"/>
      <c r="P19" s="84"/>
      <c r="Q19" s="84"/>
      <c r="R19" s="311" t="s">
        <v>96</v>
      </c>
      <c r="S19" s="308"/>
      <c r="T19" s="308"/>
      <c r="U19" s="308"/>
      <c r="V19" s="308"/>
      <c r="W19" s="56"/>
      <c r="Y19" s="32"/>
      <c r="AS19" s="74"/>
      <c r="AT19" s="34">
        <v>0</v>
      </c>
      <c r="AU19" s="275"/>
      <c r="AV19" s="233"/>
      <c r="AW19" s="233"/>
      <c r="AX19" s="233"/>
      <c r="AY19" s="233"/>
      <c r="AZ19" s="233"/>
      <c r="BA19" s="233"/>
      <c r="BB19" s="233"/>
      <c r="BC19" s="234"/>
      <c r="BD19" s="24"/>
    </row>
    <row r="20" spans="2:56" s="31" customFormat="1" ht="18" customHeight="1" x14ac:dyDescent="0.2">
      <c r="B20" s="22"/>
      <c r="C20" s="87"/>
      <c r="D20" s="307">
        <f>P55</f>
        <v>5</v>
      </c>
      <c r="E20" s="308"/>
      <c r="F20" s="308"/>
      <c r="G20" s="308"/>
      <c r="H20" s="308"/>
      <c r="I20" s="99"/>
      <c r="J20" s="99"/>
      <c r="K20" s="307">
        <f>P56</f>
        <v>12</v>
      </c>
      <c r="L20" s="308"/>
      <c r="M20" s="308"/>
      <c r="N20" s="308"/>
      <c r="O20" s="308"/>
      <c r="P20" s="99"/>
      <c r="Q20" s="99"/>
      <c r="R20" s="307">
        <f>P57</f>
        <v>5</v>
      </c>
      <c r="S20" s="308"/>
      <c r="T20" s="308"/>
      <c r="U20" s="308"/>
      <c r="V20" s="308"/>
      <c r="W20" s="56"/>
      <c r="Y20" s="32"/>
      <c r="AS20" s="74"/>
      <c r="AT20" s="34"/>
      <c r="AU20" s="275"/>
      <c r="AV20" s="233"/>
      <c r="AW20" s="233"/>
      <c r="AX20" s="233"/>
      <c r="AY20" s="233"/>
      <c r="AZ20" s="233"/>
      <c r="BA20" s="233"/>
      <c r="BB20" s="233"/>
      <c r="BC20" s="234"/>
      <c r="BD20" s="24"/>
    </row>
    <row r="21" spans="2:56" s="35" customFormat="1" ht="18" customHeight="1" x14ac:dyDescent="0.2">
      <c r="B21" s="22"/>
      <c r="C21" s="57"/>
      <c r="D21" s="61"/>
      <c r="E21" s="37"/>
      <c r="F21" s="37"/>
      <c r="G21" s="37"/>
      <c r="H21" s="37"/>
      <c r="I21" s="37"/>
      <c r="J21" s="37"/>
      <c r="K21" s="37"/>
      <c r="L21" s="37"/>
      <c r="M21" s="72"/>
      <c r="N21" s="37"/>
      <c r="O21" s="37"/>
      <c r="P21" s="37"/>
      <c r="Q21" s="37"/>
      <c r="R21" s="37"/>
      <c r="S21" s="37"/>
      <c r="T21" s="37"/>
      <c r="U21" s="37"/>
      <c r="V21" s="37"/>
      <c r="W21" s="56"/>
      <c r="Y21" s="71"/>
      <c r="AS21" s="74"/>
      <c r="AT21" s="34"/>
      <c r="AU21" s="275"/>
      <c r="AV21" s="233"/>
      <c r="AW21" s="233"/>
      <c r="AX21" s="233"/>
      <c r="AY21" s="233"/>
      <c r="AZ21" s="233"/>
      <c r="BA21" s="233"/>
      <c r="BB21" s="233"/>
      <c r="BC21" s="234"/>
      <c r="BD21" s="24"/>
    </row>
    <row r="22" spans="2:56" s="35" customFormat="1" ht="18" customHeight="1" x14ac:dyDescent="0.2">
      <c r="B22" s="22"/>
      <c r="C22" s="57"/>
      <c r="D22" s="309" t="s">
        <v>102</v>
      </c>
      <c r="E22" s="310"/>
      <c r="F22" s="310"/>
      <c r="G22" s="310"/>
      <c r="H22" s="310"/>
      <c r="I22" s="310"/>
      <c r="J22" s="310"/>
      <c r="K22" s="310"/>
      <c r="L22" s="310"/>
      <c r="M22" s="310"/>
      <c r="N22" s="310"/>
      <c r="O22" s="310"/>
      <c r="P22" s="310"/>
      <c r="Q22" s="310"/>
      <c r="R22" s="310"/>
      <c r="S22" s="310"/>
      <c r="T22" s="310"/>
      <c r="U22" s="310"/>
      <c r="V22" s="310"/>
      <c r="W22" s="56"/>
      <c r="Y22" s="71"/>
      <c r="AS22" s="74"/>
      <c r="AT22" s="34"/>
      <c r="AU22" s="275"/>
      <c r="AV22" s="233"/>
      <c r="AW22" s="233"/>
      <c r="AX22" s="233"/>
      <c r="AY22" s="233"/>
      <c r="AZ22" s="233"/>
      <c r="BA22" s="233"/>
      <c r="BB22" s="233"/>
      <c r="BC22" s="234"/>
      <c r="BD22" s="24"/>
    </row>
    <row r="23" spans="2:56" s="35" customFormat="1" ht="18" customHeight="1" thickBot="1" x14ac:dyDescent="0.25">
      <c r="B23" s="22"/>
      <c r="C23" s="57"/>
      <c r="D23" s="82"/>
      <c r="E23" s="82"/>
      <c r="F23" s="82"/>
      <c r="G23" s="82"/>
      <c r="H23" s="82"/>
      <c r="I23" s="82"/>
      <c r="J23" s="82"/>
      <c r="K23" s="82"/>
      <c r="L23" s="82"/>
      <c r="M23" s="82"/>
      <c r="N23" s="82"/>
      <c r="O23" s="82"/>
      <c r="P23" s="82"/>
      <c r="Q23" s="82"/>
      <c r="R23" s="82"/>
      <c r="S23" s="82"/>
      <c r="T23" s="82"/>
      <c r="U23" s="82"/>
      <c r="V23" s="82"/>
      <c r="W23" s="56"/>
      <c r="Y23" s="133"/>
      <c r="Z23" s="134"/>
      <c r="AA23" s="134"/>
      <c r="AB23" s="134"/>
      <c r="AC23" s="134"/>
      <c r="AD23" s="134"/>
      <c r="AE23" s="134"/>
      <c r="AF23" s="134"/>
      <c r="AG23" s="134"/>
      <c r="AH23" s="134"/>
      <c r="AI23" s="134"/>
      <c r="AJ23" s="134"/>
      <c r="AK23" s="134"/>
      <c r="AL23" s="134"/>
      <c r="AM23" s="134"/>
      <c r="AN23" s="134"/>
      <c r="AO23" s="134"/>
      <c r="AP23" s="134"/>
      <c r="AQ23" s="134"/>
      <c r="AR23" s="134"/>
      <c r="AS23" s="121"/>
      <c r="AT23" s="34"/>
      <c r="AU23" s="275"/>
      <c r="AV23" s="233"/>
      <c r="AW23" s="233"/>
      <c r="AX23" s="233"/>
      <c r="AY23" s="233"/>
      <c r="AZ23" s="233"/>
      <c r="BA23" s="233"/>
      <c r="BB23" s="233"/>
      <c r="BC23" s="234"/>
      <c r="BD23" s="24"/>
    </row>
    <row r="24" spans="2:56" s="35" customFormat="1" ht="18" customHeight="1" thickTop="1" x14ac:dyDescent="0.2">
      <c r="B24" s="22"/>
      <c r="C24" s="57"/>
      <c r="D24" s="302" t="s">
        <v>99</v>
      </c>
      <c r="E24" s="303"/>
      <c r="F24" s="303"/>
      <c r="G24" s="303"/>
      <c r="H24" s="303"/>
      <c r="I24" s="82"/>
      <c r="J24" s="82"/>
      <c r="K24" s="302" t="s">
        <v>100</v>
      </c>
      <c r="L24" s="303"/>
      <c r="M24" s="303"/>
      <c r="N24" s="303"/>
      <c r="O24" s="303"/>
      <c r="P24" s="82"/>
      <c r="Q24" s="82"/>
      <c r="R24" s="302" t="s">
        <v>128</v>
      </c>
      <c r="S24" s="303"/>
      <c r="T24" s="303"/>
      <c r="U24" s="303"/>
      <c r="V24" s="303"/>
      <c r="W24" s="56"/>
      <c r="Y24" s="150"/>
      <c r="Z24" s="136"/>
      <c r="AA24" s="137"/>
      <c r="AB24" s="115"/>
      <c r="AC24" s="115"/>
      <c r="AD24" s="115"/>
      <c r="AE24" s="115"/>
      <c r="AF24" s="115"/>
      <c r="AG24" s="115"/>
      <c r="AH24" s="115"/>
      <c r="AI24" s="115"/>
      <c r="AJ24" s="115"/>
      <c r="AK24" s="115"/>
      <c r="AL24" s="115"/>
      <c r="AM24" s="115"/>
      <c r="AN24" s="115"/>
      <c r="AO24" s="115"/>
      <c r="AP24" s="139"/>
      <c r="AQ24" s="138"/>
      <c r="AR24" s="138"/>
      <c r="AS24" s="115"/>
      <c r="AT24" s="34"/>
      <c r="AU24" s="275"/>
      <c r="AV24" s="233"/>
      <c r="AW24" s="233"/>
      <c r="AX24" s="233"/>
      <c r="AY24" s="233"/>
      <c r="AZ24" s="233"/>
      <c r="BA24" s="233"/>
      <c r="BB24" s="233"/>
      <c r="BC24" s="234"/>
      <c r="BD24" s="24"/>
    </row>
    <row r="25" spans="2:56" s="35" customFormat="1" ht="18" customHeight="1" thickBot="1" x14ac:dyDescent="0.25">
      <c r="B25" s="22"/>
      <c r="C25" s="57"/>
      <c r="D25" s="304" t="s">
        <v>105</v>
      </c>
      <c r="E25" s="305"/>
      <c r="F25" s="305"/>
      <c r="G25" s="305"/>
      <c r="H25" s="305"/>
      <c r="I25" s="101"/>
      <c r="J25" s="101"/>
      <c r="K25" s="306">
        <f>P60</f>
        <v>7</v>
      </c>
      <c r="L25" s="303"/>
      <c r="M25" s="303"/>
      <c r="N25" s="303"/>
      <c r="O25" s="303"/>
      <c r="P25" s="101"/>
      <c r="Q25" s="101"/>
      <c r="R25" s="306">
        <f>P61</f>
        <v>20</v>
      </c>
      <c r="S25" s="303"/>
      <c r="T25" s="303"/>
      <c r="U25" s="303"/>
      <c r="V25" s="303"/>
      <c r="W25" s="56"/>
      <c r="Y25" s="134"/>
      <c r="Z25" s="134"/>
      <c r="AA25" s="134"/>
      <c r="AB25" s="134"/>
      <c r="AC25" s="134"/>
      <c r="AD25" s="134"/>
      <c r="AE25" s="134"/>
      <c r="AF25" s="134"/>
      <c r="AG25" s="134"/>
      <c r="AH25" s="134"/>
      <c r="AI25" s="134"/>
      <c r="AJ25" s="134"/>
      <c r="AK25" s="134"/>
      <c r="AL25" s="134"/>
      <c r="AM25" s="134"/>
      <c r="AN25" s="134"/>
      <c r="AO25" s="134"/>
      <c r="AP25" s="134"/>
      <c r="AQ25" s="134"/>
      <c r="AR25" s="134">
        <f>AY48</f>
        <v>0</v>
      </c>
      <c r="AS25" s="120"/>
      <c r="AT25" s="34"/>
      <c r="AU25" s="276"/>
      <c r="AV25" s="277"/>
      <c r="AW25" s="277"/>
      <c r="AX25" s="277"/>
      <c r="AY25" s="277"/>
      <c r="AZ25" s="277"/>
      <c r="BA25" s="277"/>
      <c r="BB25" s="277"/>
      <c r="BC25" s="278"/>
      <c r="BD25" s="24"/>
    </row>
    <row r="26" spans="2:56" s="35" customFormat="1" ht="18" customHeight="1" thickTop="1" thickBot="1" x14ac:dyDescent="0.25">
      <c r="B26" s="22"/>
      <c r="C26" s="62"/>
      <c r="D26" s="100"/>
      <c r="E26" s="100"/>
      <c r="F26" s="100"/>
      <c r="G26" s="100"/>
      <c r="H26" s="100"/>
      <c r="I26" s="63"/>
      <c r="J26" s="63"/>
      <c r="K26" s="63"/>
      <c r="L26" s="63"/>
      <c r="M26" s="63"/>
      <c r="N26" s="63"/>
      <c r="O26" s="63"/>
      <c r="P26" s="63"/>
      <c r="Q26" s="63"/>
      <c r="R26" s="63"/>
      <c r="S26" s="63"/>
      <c r="T26" s="63"/>
      <c r="U26" s="63"/>
      <c r="V26" s="63"/>
      <c r="W26" s="64"/>
      <c r="X26" s="61"/>
      <c r="Y26" s="148" t="s">
        <v>88</v>
      </c>
      <c r="Z26" s="139">
        <v>0</v>
      </c>
      <c r="AA26" s="139"/>
      <c r="AB26" s="139"/>
      <c r="AC26" s="139"/>
      <c r="AD26" s="139"/>
      <c r="AE26" s="139"/>
      <c r="AF26" s="139"/>
      <c r="AG26" s="139"/>
      <c r="AH26" s="139"/>
      <c r="AI26" s="139"/>
      <c r="AJ26" s="139"/>
      <c r="AK26" s="139"/>
      <c r="AL26" s="139"/>
      <c r="AM26" s="139"/>
      <c r="AN26" s="139"/>
      <c r="AO26" s="139"/>
      <c r="AP26" s="139"/>
      <c r="AQ26" s="139"/>
      <c r="AR26" s="139"/>
      <c r="AS26" s="149"/>
      <c r="AT26" s="34"/>
      <c r="BD26" s="24"/>
    </row>
    <row r="27" spans="2:56" s="37" customFormat="1" ht="18" customHeight="1" thickTop="1" thickBot="1" x14ac:dyDescent="0.25">
      <c r="B27" s="22"/>
      <c r="X27" s="61"/>
      <c r="Y27" s="148">
        <v>0</v>
      </c>
      <c r="Z27" s="139">
        <v>0</v>
      </c>
      <c r="AA27" s="49" t="s">
        <v>93</v>
      </c>
      <c r="AB27" s="110"/>
      <c r="AC27" s="110"/>
      <c r="AD27" s="110"/>
      <c r="AE27" s="110"/>
      <c r="AF27" s="110">
        <f>IF(AA27=R$50,X$50,IF(AA27=R$51,X$51,IF(AA27=R$52,X$52,IF(AA27=R$53,X$53,IF(AA27=R$54,X$54,IF(AA27=R$55,X$55,IF(AA27=R$56,X$56,X$57)))))))</f>
        <v>9</v>
      </c>
      <c r="AG27" s="110"/>
      <c r="AH27" s="110"/>
      <c r="AI27" s="110"/>
      <c r="AJ27" s="110"/>
      <c r="AK27" s="110"/>
      <c r="AL27" s="110"/>
      <c r="AM27" s="110"/>
      <c r="AN27" s="110"/>
      <c r="AO27" s="110"/>
      <c r="AP27" s="35"/>
      <c r="AQ27" s="114"/>
      <c r="AR27" s="114"/>
      <c r="AS27" s="74"/>
      <c r="AT27" s="39"/>
      <c r="AU27" s="229" t="s">
        <v>11</v>
      </c>
      <c r="AV27" s="230"/>
      <c r="AW27" s="230"/>
      <c r="AX27" s="230"/>
      <c r="AY27" s="230"/>
      <c r="AZ27" s="230"/>
      <c r="BA27" s="230"/>
      <c r="BB27" s="230"/>
      <c r="BC27" s="231"/>
      <c r="BD27" s="40"/>
    </row>
    <row r="28" spans="2:56" s="37" customFormat="1" ht="18" customHeight="1" thickTop="1" thickBot="1" x14ac:dyDescent="0.25">
      <c r="B28" s="22"/>
      <c r="C28" s="140"/>
      <c r="D28" s="129"/>
      <c r="E28" s="129"/>
      <c r="F28" s="129"/>
      <c r="G28" s="129"/>
      <c r="H28" s="129"/>
      <c r="I28" s="129"/>
      <c r="J28" s="129"/>
      <c r="K28" s="129"/>
      <c r="L28" s="129"/>
      <c r="M28" s="129"/>
      <c r="N28" s="129"/>
      <c r="O28" s="129"/>
      <c r="P28" s="129"/>
      <c r="Q28" s="129"/>
      <c r="R28" s="129"/>
      <c r="S28" s="129"/>
      <c r="T28" s="129"/>
      <c r="U28" s="129"/>
      <c r="V28" s="129"/>
      <c r="W28" s="131"/>
      <c r="X28" s="61"/>
      <c r="Y28" s="148">
        <v>0</v>
      </c>
      <c r="Z28" s="139">
        <v>0</v>
      </c>
      <c r="AA28" s="49" t="s">
        <v>94</v>
      </c>
      <c r="AB28" s="110"/>
      <c r="AC28" s="110"/>
      <c r="AD28" s="110"/>
      <c r="AE28" s="110"/>
      <c r="AF28" s="110">
        <f t="shared" ref="AF28:AF34" si="0">IF(AA28=R$50,X$50,IF(AA28=R$51,X$51,IF(AA28=R$52,X$52,IF(AA28=R$53,X$53,IF(AA28=R$54,X$54,IF(AA28=R$55,X$55,IF(AA28=R$56,X$56,X$57)))))))</f>
        <v>8</v>
      </c>
      <c r="AG28" s="110"/>
      <c r="AH28" s="110"/>
      <c r="AI28" s="110"/>
      <c r="AJ28" s="110"/>
      <c r="AK28" s="110"/>
      <c r="AL28" s="110"/>
      <c r="AM28" s="110"/>
      <c r="AN28" s="110"/>
      <c r="AO28" s="110"/>
      <c r="AP28" s="35"/>
      <c r="AQ28" s="35"/>
      <c r="AR28" s="35"/>
      <c r="AS28" s="74"/>
      <c r="AT28" s="39"/>
      <c r="AU28" s="282" t="s">
        <v>117</v>
      </c>
      <c r="AV28" s="283"/>
      <c r="AW28" s="283"/>
      <c r="AX28" s="283"/>
      <c r="AY28" s="283"/>
      <c r="AZ28" s="145"/>
      <c r="BA28" s="145"/>
      <c r="BB28" s="51"/>
      <c r="BC28" s="52"/>
      <c r="BD28" s="40"/>
    </row>
    <row r="29" spans="2:56" s="37" customFormat="1" ht="18" customHeight="1" thickTop="1" thickBot="1" x14ac:dyDescent="0.25">
      <c r="B29" s="22"/>
      <c r="C29" s="300" t="s">
        <v>60</v>
      </c>
      <c r="D29" s="301"/>
      <c r="E29" s="301"/>
      <c r="F29" s="301"/>
      <c r="G29" s="301"/>
      <c r="H29" s="301"/>
      <c r="I29" s="301"/>
      <c r="J29" s="301"/>
      <c r="K29" s="301"/>
      <c r="L29" s="110"/>
      <c r="M29" s="110"/>
      <c r="N29" s="110"/>
      <c r="O29" s="110"/>
      <c r="P29" s="110"/>
      <c r="Q29" s="110"/>
      <c r="R29" s="110"/>
      <c r="S29" s="110"/>
      <c r="T29" s="110"/>
      <c r="U29" s="35"/>
      <c r="V29" s="35"/>
      <c r="W29" s="126"/>
      <c r="X29" s="61"/>
      <c r="Y29" s="148">
        <v>0</v>
      </c>
      <c r="Z29" s="139">
        <v>0</v>
      </c>
      <c r="AA29" s="49" t="s">
        <v>97</v>
      </c>
      <c r="AB29" s="110"/>
      <c r="AC29" s="110"/>
      <c r="AD29" s="110"/>
      <c r="AE29" s="110"/>
      <c r="AF29" s="110">
        <f t="shared" si="0"/>
        <v>4</v>
      </c>
      <c r="AG29" s="110"/>
      <c r="AH29" s="110"/>
      <c r="AI29" s="110"/>
      <c r="AJ29" s="110"/>
      <c r="AK29" s="110"/>
      <c r="AL29" s="110"/>
      <c r="AM29" s="110"/>
      <c r="AN29" s="110"/>
      <c r="AO29" s="110"/>
      <c r="AP29" s="35"/>
      <c r="AQ29" s="114"/>
      <c r="AR29" s="114"/>
      <c r="AS29" s="74"/>
      <c r="AT29" s="39"/>
      <c r="AU29" s="284"/>
      <c r="AV29" s="283"/>
      <c r="AW29" s="283"/>
      <c r="AX29" s="283"/>
      <c r="AY29" s="283"/>
      <c r="AZ29" s="146"/>
      <c r="BA29" s="146"/>
      <c r="BB29" s="51"/>
      <c r="BC29" s="52"/>
      <c r="BD29" s="40"/>
    </row>
    <row r="30" spans="2:56" s="37" customFormat="1" ht="18" customHeight="1" thickTop="1" thickBot="1" x14ac:dyDescent="0.25">
      <c r="B30" s="22"/>
      <c r="C30" s="318" t="s">
        <v>92</v>
      </c>
      <c r="D30" s="319"/>
      <c r="E30" s="319"/>
      <c r="F30" s="319"/>
      <c r="G30" s="319"/>
      <c r="H30" s="319"/>
      <c r="I30" s="319"/>
      <c r="J30" s="319"/>
      <c r="K30" s="319"/>
      <c r="L30" s="319"/>
      <c r="M30" s="319"/>
      <c r="N30" s="319"/>
      <c r="O30" s="319"/>
      <c r="P30" s="319"/>
      <c r="Q30" s="319"/>
      <c r="R30" s="319"/>
      <c r="S30" s="319"/>
      <c r="T30" s="319"/>
      <c r="U30" s="319"/>
      <c r="V30" s="319"/>
      <c r="W30" s="126"/>
      <c r="X30" s="61"/>
      <c r="Y30" s="148">
        <v>0</v>
      </c>
      <c r="Z30" s="139">
        <v>0</v>
      </c>
      <c r="AA30" s="49" t="s">
        <v>98</v>
      </c>
      <c r="AB30" s="110"/>
      <c r="AC30" s="110"/>
      <c r="AD30" s="110"/>
      <c r="AE30" s="110"/>
      <c r="AF30" s="110">
        <f t="shared" si="0"/>
        <v>5</v>
      </c>
      <c r="AG30" s="110"/>
      <c r="AH30" s="110"/>
      <c r="AI30" s="110"/>
      <c r="AJ30" s="110"/>
      <c r="AK30" s="110"/>
      <c r="AL30" s="110"/>
      <c r="AM30" s="110"/>
      <c r="AN30" s="110"/>
      <c r="AO30" s="110"/>
      <c r="AP30" s="35"/>
      <c r="AQ30" s="35"/>
      <c r="AR30" s="35"/>
      <c r="AS30" s="74"/>
      <c r="AT30" s="39"/>
      <c r="AU30" s="284"/>
      <c r="AV30" s="283"/>
      <c r="AW30" s="283"/>
      <c r="AX30" s="283"/>
      <c r="AY30" s="283"/>
      <c r="AZ30" s="146"/>
      <c r="BA30" s="146"/>
      <c r="BB30" s="51"/>
      <c r="BC30" s="52"/>
      <c r="BD30" s="40"/>
    </row>
    <row r="31" spans="2:56" s="37" customFormat="1" ht="18" customHeight="1" thickTop="1" thickBot="1" x14ac:dyDescent="0.25">
      <c r="B31" s="22"/>
      <c r="C31" s="320"/>
      <c r="D31" s="319"/>
      <c r="E31" s="319"/>
      <c r="F31" s="319"/>
      <c r="G31" s="319"/>
      <c r="H31" s="319"/>
      <c r="I31" s="319"/>
      <c r="J31" s="319"/>
      <c r="K31" s="319"/>
      <c r="L31" s="319"/>
      <c r="M31" s="319"/>
      <c r="N31" s="319"/>
      <c r="O31" s="319"/>
      <c r="P31" s="319"/>
      <c r="Q31" s="319"/>
      <c r="R31" s="319"/>
      <c r="S31" s="319"/>
      <c r="T31" s="319"/>
      <c r="U31" s="319"/>
      <c r="V31" s="319"/>
      <c r="W31" s="126"/>
      <c r="X31" s="61"/>
      <c r="Y31" s="148">
        <v>0</v>
      </c>
      <c r="Z31" s="139">
        <v>0</v>
      </c>
      <c r="AA31" s="49" t="s">
        <v>95</v>
      </c>
      <c r="AF31" s="110">
        <f t="shared" si="0"/>
        <v>12</v>
      </c>
      <c r="AS31" s="74"/>
      <c r="AT31" s="39"/>
      <c r="AU31" s="284"/>
      <c r="AV31" s="283"/>
      <c r="AW31" s="283"/>
      <c r="AX31" s="283"/>
      <c r="AY31" s="283"/>
      <c r="AZ31" s="145"/>
      <c r="BA31" s="145"/>
      <c r="BB31" s="51"/>
      <c r="BC31" s="52"/>
      <c r="BD31" s="40"/>
    </row>
    <row r="32" spans="2:56" s="37" customFormat="1" ht="18" customHeight="1" thickTop="1" thickBot="1" x14ac:dyDescent="0.25">
      <c r="B32" s="22"/>
      <c r="C32" s="320"/>
      <c r="D32" s="319"/>
      <c r="E32" s="319"/>
      <c r="F32" s="319"/>
      <c r="G32" s="319"/>
      <c r="H32" s="319"/>
      <c r="I32" s="319"/>
      <c r="J32" s="319"/>
      <c r="K32" s="319"/>
      <c r="L32" s="319"/>
      <c r="M32" s="319"/>
      <c r="N32" s="319"/>
      <c r="O32" s="319"/>
      <c r="P32" s="319"/>
      <c r="Q32" s="319"/>
      <c r="R32" s="319"/>
      <c r="S32" s="319"/>
      <c r="T32" s="319"/>
      <c r="U32" s="319"/>
      <c r="V32" s="319"/>
      <c r="W32" s="126"/>
      <c r="X32" s="61"/>
      <c r="Y32" s="148">
        <v>0</v>
      </c>
      <c r="Z32" s="139">
        <v>0</v>
      </c>
      <c r="AA32" s="49" t="s">
        <v>96</v>
      </c>
      <c r="AF32" s="110">
        <f t="shared" si="0"/>
        <v>5</v>
      </c>
      <c r="AS32" s="74"/>
      <c r="AT32" s="39"/>
      <c r="AU32" s="50"/>
      <c r="AV32" s="280" t="s">
        <v>12</v>
      </c>
      <c r="AW32" s="281"/>
      <c r="AX32" s="281"/>
      <c r="AY32" s="281"/>
      <c r="AZ32" s="281"/>
      <c r="BA32" s="281"/>
      <c r="BB32" s="281"/>
      <c r="BC32" s="52"/>
      <c r="BD32" s="40"/>
    </row>
    <row r="33" spans="2:56" s="37" customFormat="1" ht="18" customHeight="1" thickTop="1" x14ac:dyDescent="0.2">
      <c r="B33" s="22"/>
      <c r="C33" s="320"/>
      <c r="D33" s="319"/>
      <c r="E33" s="319"/>
      <c r="F33" s="319"/>
      <c r="G33" s="319"/>
      <c r="H33" s="319"/>
      <c r="I33" s="319"/>
      <c r="J33" s="319"/>
      <c r="K33" s="319"/>
      <c r="L33" s="319"/>
      <c r="M33" s="319"/>
      <c r="N33" s="319"/>
      <c r="O33" s="319"/>
      <c r="P33" s="319"/>
      <c r="Q33" s="319"/>
      <c r="R33" s="319"/>
      <c r="S33" s="319"/>
      <c r="T33" s="319"/>
      <c r="U33" s="319"/>
      <c r="V33" s="319"/>
      <c r="W33" s="126"/>
      <c r="X33" s="61"/>
      <c r="Y33" s="148">
        <v>0</v>
      </c>
      <c r="Z33" s="139">
        <v>0</v>
      </c>
      <c r="AA33" s="49" t="s">
        <v>100</v>
      </c>
      <c r="AF33" s="110">
        <f t="shared" si="0"/>
        <v>7</v>
      </c>
      <c r="AS33" s="74"/>
      <c r="AT33" s="39"/>
      <c r="AU33" s="50"/>
      <c r="AV33" s="281"/>
      <c r="AW33" s="281"/>
      <c r="AX33" s="281"/>
      <c r="AY33" s="281"/>
      <c r="AZ33" s="281"/>
      <c r="BA33" s="281"/>
      <c r="BB33" s="281"/>
      <c r="BC33" s="52"/>
      <c r="BD33" s="40"/>
    </row>
    <row r="34" spans="2:56" s="37" customFormat="1" ht="18" customHeight="1" thickBot="1" x14ac:dyDescent="0.25">
      <c r="B34" s="22"/>
      <c r="C34" s="320"/>
      <c r="D34" s="319"/>
      <c r="E34" s="319"/>
      <c r="F34" s="319"/>
      <c r="G34" s="319"/>
      <c r="H34" s="319"/>
      <c r="I34" s="319"/>
      <c r="J34" s="319"/>
      <c r="K34" s="319"/>
      <c r="L34" s="319"/>
      <c r="M34" s="319"/>
      <c r="N34" s="319"/>
      <c r="O34" s="319"/>
      <c r="P34" s="319"/>
      <c r="Q34" s="319"/>
      <c r="R34" s="319"/>
      <c r="S34" s="319"/>
      <c r="T34" s="319"/>
      <c r="U34" s="319"/>
      <c r="V34" s="319"/>
      <c r="W34" s="126"/>
      <c r="X34" s="61"/>
      <c r="Y34" s="87"/>
      <c r="Z34" s="49">
        <v>7</v>
      </c>
      <c r="AA34" s="49" t="s">
        <v>101</v>
      </c>
      <c r="AF34" s="110">
        <f t="shared" si="0"/>
        <v>20</v>
      </c>
      <c r="AS34" s="74"/>
      <c r="AT34" s="39"/>
      <c r="AU34" s="53"/>
      <c r="AV34" s="54"/>
      <c r="AW34" s="54"/>
      <c r="AX34" s="54"/>
      <c r="AY34" s="54"/>
      <c r="AZ34" s="54"/>
      <c r="BA34" s="54"/>
      <c r="BB34" s="54"/>
      <c r="BC34" s="55"/>
      <c r="BD34" s="40"/>
    </row>
    <row r="35" spans="2:56" s="37" customFormat="1" ht="18" customHeight="1" thickTop="1" thickBot="1" x14ac:dyDescent="0.25">
      <c r="B35" s="22"/>
      <c r="C35" s="320"/>
      <c r="D35" s="319"/>
      <c r="E35" s="319"/>
      <c r="F35" s="319"/>
      <c r="G35" s="319"/>
      <c r="H35" s="319"/>
      <c r="I35" s="319"/>
      <c r="J35" s="319"/>
      <c r="K35" s="319"/>
      <c r="L35" s="319"/>
      <c r="M35" s="319"/>
      <c r="N35" s="319"/>
      <c r="O35" s="319"/>
      <c r="P35" s="319"/>
      <c r="Q35" s="319"/>
      <c r="R35" s="319"/>
      <c r="S35" s="319"/>
      <c r="T35" s="319"/>
      <c r="U35" s="319"/>
      <c r="V35" s="319"/>
      <c r="W35" s="126"/>
      <c r="X35" s="61"/>
      <c r="Y35" s="87"/>
      <c r="Z35" s="49">
        <f t="shared" ref="Z35" si="1">AG58</f>
        <v>0</v>
      </c>
      <c r="AS35" s="74"/>
      <c r="AT35" s="39"/>
      <c r="BD35" s="40"/>
    </row>
    <row r="36" spans="2:56" s="37" customFormat="1" ht="18" customHeight="1" thickTop="1" x14ac:dyDescent="0.2">
      <c r="B36" s="22"/>
      <c r="C36" s="320"/>
      <c r="D36" s="319"/>
      <c r="E36" s="319"/>
      <c r="F36" s="319"/>
      <c r="G36" s="319"/>
      <c r="H36" s="319"/>
      <c r="I36" s="319"/>
      <c r="J36" s="319"/>
      <c r="K36" s="319"/>
      <c r="L36" s="319"/>
      <c r="M36" s="319"/>
      <c r="N36" s="319"/>
      <c r="O36" s="319"/>
      <c r="P36" s="319"/>
      <c r="Q36" s="319"/>
      <c r="R36" s="319"/>
      <c r="S36" s="319"/>
      <c r="T36" s="319"/>
      <c r="U36" s="319"/>
      <c r="V36" s="319"/>
      <c r="W36" s="126"/>
      <c r="X36" s="61"/>
      <c r="Y36" s="87"/>
      <c r="AS36" s="74"/>
      <c r="AT36" s="39"/>
      <c r="AU36" s="229" t="s">
        <v>125</v>
      </c>
      <c r="AV36" s="230"/>
      <c r="AW36" s="230"/>
      <c r="AX36" s="230"/>
      <c r="AY36" s="230"/>
      <c r="AZ36" s="230"/>
      <c r="BA36" s="230"/>
      <c r="BB36" s="230"/>
      <c r="BC36" s="231"/>
      <c r="BD36" s="40"/>
    </row>
    <row r="37" spans="2:56" s="37" customFormat="1" ht="18" customHeight="1" x14ac:dyDescent="0.2">
      <c r="B37" s="22"/>
      <c r="C37" s="320"/>
      <c r="D37" s="319"/>
      <c r="E37" s="319"/>
      <c r="F37" s="319"/>
      <c r="G37" s="319"/>
      <c r="H37" s="319"/>
      <c r="I37" s="319"/>
      <c r="J37" s="319"/>
      <c r="K37" s="319"/>
      <c r="L37" s="319"/>
      <c r="M37" s="319"/>
      <c r="N37" s="319"/>
      <c r="O37" s="319"/>
      <c r="P37" s="319"/>
      <c r="Q37" s="319"/>
      <c r="R37" s="319"/>
      <c r="S37" s="319"/>
      <c r="T37" s="319"/>
      <c r="U37" s="319"/>
      <c r="V37" s="319"/>
      <c r="W37" s="126"/>
      <c r="X37" s="61"/>
      <c r="Y37" s="87"/>
      <c r="AS37" s="74"/>
      <c r="AT37" s="39"/>
      <c r="AU37" s="87"/>
      <c r="BC37" s="126"/>
      <c r="BD37" s="40"/>
    </row>
    <row r="38" spans="2:56" s="37" customFormat="1" ht="18" customHeight="1" x14ac:dyDescent="0.2">
      <c r="B38" s="22"/>
      <c r="C38" s="320"/>
      <c r="D38" s="319"/>
      <c r="E38" s="319"/>
      <c r="F38" s="319"/>
      <c r="G38" s="319"/>
      <c r="H38" s="319"/>
      <c r="I38" s="319"/>
      <c r="J38" s="319"/>
      <c r="K38" s="319"/>
      <c r="L38" s="319"/>
      <c r="M38" s="319"/>
      <c r="N38" s="319"/>
      <c r="O38" s="319"/>
      <c r="P38" s="319"/>
      <c r="Q38" s="319"/>
      <c r="R38" s="319"/>
      <c r="S38" s="319"/>
      <c r="T38" s="319"/>
      <c r="U38" s="319"/>
      <c r="V38" s="319"/>
      <c r="W38" s="126"/>
      <c r="X38" s="61"/>
      <c r="Y38" s="87"/>
      <c r="AS38" s="74"/>
      <c r="AT38" s="39"/>
      <c r="AU38" s="71"/>
      <c r="AV38" s="35"/>
      <c r="AW38" s="35"/>
      <c r="AX38" s="35"/>
      <c r="AY38" s="35"/>
      <c r="AZ38" s="35"/>
      <c r="BA38" s="35"/>
      <c r="BB38" s="35"/>
      <c r="BC38" s="132"/>
      <c r="BD38" s="40"/>
    </row>
    <row r="39" spans="2:56" s="37" customFormat="1" ht="18" customHeight="1" x14ac:dyDescent="0.2">
      <c r="B39" s="22"/>
      <c r="C39" s="320"/>
      <c r="D39" s="319"/>
      <c r="E39" s="319"/>
      <c r="F39" s="319"/>
      <c r="G39" s="319"/>
      <c r="H39" s="319"/>
      <c r="I39" s="319"/>
      <c r="J39" s="319"/>
      <c r="K39" s="319"/>
      <c r="L39" s="319"/>
      <c r="M39" s="319"/>
      <c r="N39" s="319"/>
      <c r="O39" s="319"/>
      <c r="P39" s="319"/>
      <c r="Q39" s="319"/>
      <c r="R39" s="319"/>
      <c r="S39" s="319"/>
      <c r="T39" s="319"/>
      <c r="U39" s="319"/>
      <c r="V39" s="319"/>
      <c r="W39" s="74"/>
      <c r="X39" s="61"/>
      <c r="Y39" s="87"/>
      <c r="AS39" s="74"/>
      <c r="AT39" s="39"/>
      <c r="AU39" s="71"/>
      <c r="AV39" s="35"/>
      <c r="AW39" s="35"/>
      <c r="AX39" s="35"/>
      <c r="AY39" s="35"/>
      <c r="AZ39" s="35"/>
      <c r="BA39" s="35"/>
      <c r="BB39" s="35"/>
      <c r="BC39" s="132"/>
      <c r="BD39" s="40"/>
    </row>
    <row r="40" spans="2:56" s="37" customFormat="1" ht="18" customHeight="1" thickBot="1" x14ac:dyDescent="0.25">
      <c r="B40" s="22"/>
      <c r="C40" s="321"/>
      <c r="D40" s="322"/>
      <c r="E40" s="322"/>
      <c r="F40" s="322"/>
      <c r="G40" s="322"/>
      <c r="H40" s="322"/>
      <c r="I40" s="322"/>
      <c r="J40" s="322"/>
      <c r="K40" s="322"/>
      <c r="L40" s="322"/>
      <c r="M40" s="322"/>
      <c r="N40" s="322"/>
      <c r="O40" s="322"/>
      <c r="P40" s="322"/>
      <c r="Q40" s="322"/>
      <c r="R40" s="322"/>
      <c r="S40" s="322"/>
      <c r="T40" s="322"/>
      <c r="U40" s="322"/>
      <c r="V40" s="322"/>
      <c r="W40" s="121"/>
      <c r="X40" s="61"/>
      <c r="Y40" s="88"/>
      <c r="Z40" s="127"/>
      <c r="AA40" s="127"/>
      <c r="AB40" s="127"/>
      <c r="AC40" s="127"/>
      <c r="AD40" s="127"/>
      <c r="AE40" s="127"/>
      <c r="AF40" s="127"/>
      <c r="AG40" s="127"/>
      <c r="AH40" s="127"/>
      <c r="AI40" s="127"/>
      <c r="AJ40" s="127"/>
      <c r="AK40" s="127"/>
      <c r="AL40" s="127"/>
      <c r="AM40" s="127"/>
      <c r="AN40" s="127"/>
      <c r="AO40" s="127"/>
      <c r="AP40" s="127"/>
      <c r="AQ40" s="127"/>
      <c r="AR40" s="127"/>
      <c r="AS40" s="121"/>
      <c r="AT40" s="39"/>
      <c r="AU40" s="133"/>
      <c r="AV40" s="134"/>
      <c r="AW40" s="134"/>
      <c r="AX40" s="134"/>
      <c r="AY40" s="134"/>
      <c r="AZ40" s="134"/>
      <c r="BA40" s="134"/>
      <c r="BB40" s="134"/>
      <c r="BC40" s="135"/>
      <c r="BD40" s="40"/>
    </row>
    <row r="41" spans="2:56" s="37" customFormat="1" ht="18" customHeight="1" thickTop="1" thickBot="1" x14ac:dyDescent="0.25">
      <c r="B41" s="22"/>
      <c r="C41" s="141"/>
      <c r="D41" s="141"/>
      <c r="E41" s="141"/>
      <c r="F41" s="141"/>
      <c r="G41" s="141"/>
      <c r="H41" s="141"/>
      <c r="I41" s="141"/>
      <c r="J41" s="141"/>
      <c r="K41" s="141"/>
      <c r="L41" s="142"/>
      <c r="M41" s="142"/>
      <c r="N41" s="142"/>
      <c r="O41" s="142"/>
      <c r="P41" s="142"/>
      <c r="Q41" s="142"/>
      <c r="R41" s="142"/>
      <c r="S41" s="142"/>
      <c r="T41" s="142"/>
      <c r="U41" s="142"/>
      <c r="V41" s="142"/>
      <c r="W41" s="115"/>
      <c r="X41" s="61"/>
      <c r="AS41" s="110"/>
      <c r="AT41" s="39"/>
      <c r="BD41" s="40"/>
    </row>
    <row r="42" spans="2:56" s="37" customFormat="1" ht="18" customHeight="1" thickTop="1" x14ac:dyDescent="0.2">
      <c r="B42" s="22"/>
      <c r="C42" s="312" t="s">
        <v>115</v>
      </c>
      <c r="D42" s="313"/>
      <c r="E42" s="313"/>
      <c r="F42" s="313"/>
      <c r="G42" s="313"/>
      <c r="H42" s="313"/>
      <c r="I42" s="314">
        <f>P65</f>
        <v>0</v>
      </c>
      <c r="J42" s="315"/>
      <c r="K42" s="315"/>
      <c r="L42" s="315"/>
      <c r="M42" s="315"/>
      <c r="N42" s="315"/>
      <c r="O42" s="315"/>
      <c r="P42" s="315"/>
      <c r="Q42" s="315"/>
      <c r="R42" s="315"/>
      <c r="S42" s="315"/>
      <c r="T42" s="315"/>
      <c r="U42" s="315"/>
      <c r="V42" s="315"/>
      <c r="W42" s="315"/>
      <c r="X42" s="315"/>
      <c r="Y42" s="315"/>
      <c r="Z42" s="315"/>
      <c r="AA42" s="315"/>
      <c r="AB42" s="315"/>
      <c r="AC42" s="315"/>
      <c r="AD42" s="315"/>
      <c r="AE42" s="315"/>
      <c r="AF42" s="315"/>
      <c r="AG42" s="315"/>
      <c r="AH42" s="315"/>
      <c r="AI42" s="315"/>
      <c r="AJ42" s="315"/>
      <c r="AK42" s="315"/>
      <c r="AL42" s="315"/>
      <c r="AM42" s="315"/>
      <c r="AN42" s="315"/>
      <c r="AO42" s="315"/>
      <c r="AP42" s="315"/>
      <c r="AQ42" s="315"/>
      <c r="AR42" s="315"/>
      <c r="AS42" s="316"/>
      <c r="AT42" s="39"/>
      <c r="AU42" s="158"/>
      <c r="AV42" s="158"/>
      <c r="AW42" s="158"/>
      <c r="AX42" s="158"/>
      <c r="AY42" s="158"/>
      <c r="AZ42" s="158"/>
      <c r="BA42" s="158"/>
      <c r="BB42" s="158"/>
      <c r="BC42" s="158"/>
      <c r="BD42" s="24"/>
    </row>
    <row r="43" spans="2:56" s="37" customFormat="1" ht="18" customHeight="1" x14ac:dyDescent="0.2">
      <c r="B43" s="22"/>
      <c r="C43" s="118"/>
      <c r="D43" s="112"/>
      <c r="E43" s="113"/>
      <c r="F43" s="110"/>
      <c r="G43" s="110"/>
      <c r="H43" s="110"/>
      <c r="I43" s="317"/>
      <c r="J43" s="317"/>
      <c r="K43" s="317"/>
      <c r="L43" s="317"/>
      <c r="M43" s="317"/>
      <c r="N43" s="317"/>
      <c r="O43" s="317"/>
      <c r="P43" s="317"/>
      <c r="Q43" s="317"/>
      <c r="R43" s="317"/>
      <c r="S43" s="317"/>
      <c r="T43" s="317"/>
      <c r="U43" s="317"/>
      <c r="V43" s="317"/>
      <c r="W43" s="317"/>
      <c r="X43" s="317"/>
      <c r="Y43" s="317"/>
      <c r="Z43" s="317"/>
      <c r="AA43" s="317"/>
      <c r="AB43" s="317"/>
      <c r="AC43" s="317"/>
      <c r="AD43" s="317"/>
      <c r="AE43" s="317"/>
      <c r="AF43" s="317"/>
      <c r="AG43" s="317"/>
      <c r="AH43" s="317"/>
      <c r="AI43" s="317"/>
      <c r="AJ43" s="317"/>
      <c r="AK43" s="317"/>
      <c r="AL43" s="317"/>
      <c r="AM43" s="317"/>
      <c r="AN43" s="317"/>
      <c r="AO43" s="317"/>
      <c r="AP43" s="317"/>
      <c r="AQ43" s="317"/>
      <c r="AR43" s="317"/>
      <c r="AS43" s="234"/>
      <c r="AT43" s="39"/>
      <c r="AU43" s="154"/>
      <c r="AV43" s="154"/>
      <c r="AW43" s="154"/>
      <c r="AX43" s="154"/>
      <c r="AY43" s="154"/>
      <c r="AZ43" s="154"/>
      <c r="BA43" s="154"/>
      <c r="BB43" s="154"/>
      <c r="BC43" s="154"/>
      <c r="BD43" s="24"/>
    </row>
    <row r="44" spans="2:56" s="35" customFormat="1" ht="18" customHeight="1" x14ac:dyDescent="0.2">
      <c r="B44" s="22"/>
      <c r="C44" s="118"/>
      <c r="D44" s="112"/>
      <c r="E44" s="113"/>
      <c r="F44" s="110"/>
      <c r="G44" s="110"/>
      <c r="H44" s="110"/>
      <c r="I44" s="317"/>
      <c r="J44" s="317"/>
      <c r="K44" s="317"/>
      <c r="L44" s="317"/>
      <c r="M44" s="317"/>
      <c r="N44" s="317"/>
      <c r="O44" s="317"/>
      <c r="P44" s="317"/>
      <c r="Q44" s="317"/>
      <c r="R44" s="317"/>
      <c r="S44" s="317"/>
      <c r="T44" s="317"/>
      <c r="U44" s="317"/>
      <c r="V44" s="317"/>
      <c r="W44" s="317"/>
      <c r="X44" s="317"/>
      <c r="Y44" s="317"/>
      <c r="Z44" s="317"/>
      <c r="AA44" s="317"/>
      <c r="AB44" s="317"/>
      <c r="AC44" s="317"/>
      <c r="AD44" s="317"/>
      <c r="AE44" s="317"/>
      <c r="AF44" s="317"/>
      <c r="AG44" s="317"/>
      <c r="AH44" s="317"/>
      <c r="AI44" s="317"/>
      <c r="AJ44" s="317"/>
      <c r="AK44" s="317"/>
      <c r="AL44" s="317"/>
      <c r="AM44" s="317"/>
      <c r="AN44" s="317"/>
      <c r="AO44" s="317"/>
      <c r="AP44" s="317"/>
      <c r="AQ44" s="317"/>
      <c r="AR44" s="317"/>
      <c r="AS44" s="234"/>
      <c r="AT44" s="39"/>
      <c r="AU44" s="155"/>
      <c r="AV44" s="155"/>
      <c r="AW44" s="155"/>
      <c r="AX44" s="155"/>
      <c r="AY44" s="155"/>
      <c r="AZ44" s="155"/>
      <c r="BA44" s="155"/>
      <c r="BB44" s="155"/>
      <c r="BC44" s="155"/>
      <c r="BD44" s="24"/>
    </row>
    <row r="45" spans="2:56" s="35" customFormat="1" ht="18" customHeight="1" x14ac:dyDescent="0.2">
      <c r="B45" s="22"/>
      <c r="C45" s="118"/>
      <c r="D45" s="110"/>
      <c r="E45" s="110"/>
      <c r="F45" s="110"/>
      <c r="G45" s="110"/>
      <c r="H45" s="110"/>
      <c r="I45" s="317"/>
      <c r="J45" s="317"/>
      <c r="K45" s="317"/>
      <c r="L45" s="317"/>
      <c r="M45" s="317"/>
      <c r="N45" s="317"/>
      <c r="O45" s="317"/>
      <c r="P45" s="317"/>
      <c r="Q45" s="317"/>
      <c r="R45" s="317"/>
      <c r="S45" s="317"/>
      <c r="T45" s="317"/>
      <c r="U45" s="317"/>
      <c r="V45" s="317"/>
      <c r="W45" s="317"/>
      <c r="X45" s="317"/>
      <c r="Y45" s="317"/>
      <c r="Z45" s="317"/>
      <c r="AA45" s="317"/>
      <c r="AB45" s="317"/>
      <c r="AC45" s="317"/>
      <c r="AD45" s="317"/>
      <c r="AE45" s="317"/>
      <c r="AF45" s="317"/>
      <c r="AG45" s="317"/>
      <c r="AH45" s="317"/>
      <c r="AI45" s="317"/>
      <c r="AJ45" s="317"/>
      <c r="AK45" s="317"/>
      <c r="AL45" s="317"/>
      <c r="AM45" s="317"/>
      <c r="AN45" s="317"/>
      <c r="AO45" s="317"/>
      <c r="AP45" s="317"/>
      <c r="AQ45" s="317"/>
      <c r="AR45" s="317"/>
      <c r="AS45" s="234"/>
      <c r="AT45" s="39"/>
      <c r="AU45" s="154"/>
      <c r="AV45" s="154"/>
      <c r="AW45" s="154"/>
      <c r="AX45" s="154"/>
      <c r="AY45" s="154"/>
      <c r="AZ45" s="154"/>
      <c r="BA45" s="154"/>
      <c r="BB45" s="154"/>
      <c r="BC45" s="154"/>
      <c r="BD45" s="24"/>
    </row>
    <row r="46" spans="2:56" s="35" customFormat="1" ht="18" customHeight="1" thickBot="1" x14ac:dyDescent="0.25">
      <c r="B46" s="22"/>
      <c r="C46" s="119"/>
      <c r="D46" s="120"/>
      <c r="E46" s="120"/>
      <c r="F46" s="120"/>
      <c r="G46" s="120"/>
      <c r="H46" s="120"/>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77"/>
      <c r="AI46" s="277"/>
      <c r="AJ46" s="277"/>
      <c r="AK46" s="277"/>
      <c r="AL46" s="277"/>
      <c r="AM46" s="277"/>
      <c r="AN46" s="277"/>
      <c r="AO46" s="277"/>
      <c r="AP46" s="277"/>
      <c r="AQ46" s="277"/>
      <c r="AR46" s="277"/>
      <c r="AS46" s="278"/>
      <c r="AT46" s="39"/>
      <c r="AU46" s="263" t="s">
        <v>130</v>
      </c>
      <c r="AV46" s="263"/>
      <c r="AW46" s="263"/>
      <c r="AX46" s="263"/>
      <c r="AY46" s="201"/>
      <c r="AZ46" s="264"/>
      <c r="BA46" s="264"/>
      <c r="BB46" s="264"/>
      <c r="BC46" s="264"/>
      <c r="BD46" s="24"/>
    </row>
    <row r="47" spans="2:56" s="37" customFormat="1" ht="18" customHeight="1" thickTop="1" thickBot="1" x14ac:dyDescent="0.25">
      <c r="B47" s="41"/>
      <c r="C47" s="42"/>
      <c r="D47" s="42"/>
      <c r="E47" s="42"/>
      <c r="F47" s="42"/>
      <c r="G47" s="42"/>
      <c r="H47" s="42"/>
      <c r="I47" s="42"/>
      <c r="J47" s="42"/>
      <c r="K47" s="42"/>
      <c r="L47" s="42"/>
      <c r="M47" s="42"/>
      <c r="N47" s="42"/>
      <c r="O47" s="42"/>
      <c r="P47" s="42"/>
      <c r="Q47" s="43"/>
      <c r="R47" s="42"/>
      <c r="S47" s="44"/>
      <c r="T47" s="44"/>
      <c r="U47" s="44"/>
      <c r="V47" s="44"/>
      <c r="W47" s="44"/>
      <c r="X47" s="44"/>
      <c r="Y47" s="44"/>
      <c r="Z47" s="44"/>
      <c r="AA47" s="44"/>
      <c r="AB47" s="44"/>
      <c r="AC47" s="44"/>
      <c r="AD47" s="44"/>
      <c r="AE47" s="44"/>
      <c r="AF47" s="44"/>
      <c r="AG47" s="45"/>
      <c r="AH47" s="42"/>
      <c r="AI47" s="42"/>
      <c r="AJ47" s="42"/>
      <c r="AK47" s="42"/>
      <c r="AL47" s="42"/>
      <c r="AM47" s="42"/>
      <c r="AN47" s="42"/>
      <c r="AO47" s="42"/>
      <c r="AP47" s="42"/>
      <c r="AQ47" s="42"/>
      <c r="AR47" s="42"/>
      <c r="AS47" s="42"/>
      <c r="AT47" s="46"/>
      <c r="AU47" s="156"/>
      <c r="AV47" s="156"/>
      <c r="AW47" s="156"/>
      <c r="AX47" s="156"/>
      <c r="AY47" s="156"/>
      <c r="AZ47" s="156"/>
      <c r="BA47" s="156"/>
      <c r="BB47" s="156"/>
      <c r="BC47" s="156"/>
      <c r="BD47" s="157"/>
    </row>
    <row r="48" spans="2:56" s="37" customFormat="1" ht="18" customHeight="1" thickTop="1" x14ac:dyDescent="0.2">
      <c r="B48" s="30"/>
      <c r="C48" s="36"/>
      <c r="D48" s="36"/>
      <c r="E48" s="36"/>
      <c r="F48" s="36"/>
      <c r="G48" s="36"/>
      <c r="H48" s="36"/>
      <c r="I48" s="36"/>
      <c r="J48" s="36"/>
      <c r="K48" s="36"/>
      <c r="L48" s="36"/>
      <c r="M48" s="36"/>
      <c r="N48" s="36"/>
      <c r="O48" s="36"/>
      <c r="P48" s="36"/>
      <c r="Q48" s="47"/>
      <c r="R48" s="36"/>
      <c r="S48" s="33"/>
      <c r="T48" s="33"/>
      <c r="U48" s="33"/>
      <c r="V48" s="33"/>
      <c r="W48" s="33"/>
      <c r="X48" s="33"/>
      <c r="Y48" s="33"/>
      <c r="Z48" s="33"/>
      <c r="AA48" s="33"/>
      <c r="AB48" s="33"/>
      <c r="AC48" s="33"/>
      <c r="AD48" s="33"/>
      <c r="AE48" s="33"/>
      <c r="AF48" s="33"/>
      <c r="AG48" s="38"/>
      <c r="AH48" s="36"/>
      <c r="AI48" s="36"/>
      <c r="AJ48" s="36"/>
      <c r="AK48" s="36"/>
      <c r="AL48" s="36"/>
      <c r="AM48" s="36"/>
      <c r="AN48" s="36"/>
      <c r="AO48" s="36"/>
      <c r="AP48" s="36"/>
      <c r="AQ48" s="36"/>
      <c r="AR48" s="36"/>
      <c r="AS48" s="36"/>
      <c r="AT48" s="36"/>
      <c r="AU48" s="36"/>
      <c r="AV48" s="36"/>
      <c r="AW48" s="36"/>
      <c r="AX48" s="36"/>
      <c r="AY48" s="48"/>
      <c r="AZ48" s="31"/>
      <c r="BA48" s="31"/>
      <c r="BB48" s="31"/>
      <c r="BC48" s="31"/>
      <c r="BD48" s="30"/>
    </row>
    <row r="49" spans="2:60" ht="0.25" customHeight="1" x14ac:dyDescent="0.2">
      <c r="X49" s="49" t="s">
        <v>122</v>
      </c>
      <c r="Y49" s="49" t="s">
        <v>123</v>
      </c>
      <c r="Z49" s="49" t="s">
        <v>86</v>
      </c>
      <c r="AA49" s="49" t="s">
        <v>90</v>
      </c>
      <c r="AB49" s="49" t="s">
        <v>19</v>
      </c>
      <c r="AC49" s="49" t="s">
        <v>89</v>
      </c>
      <c r="AD49" s="49" t="s">
        <v>87</v>
      </c>
      <c r="AE49" s="49" t="s">
        <v>124</v>
      </c>
      <c r="AF49" s="49" t="s">
        <v>88</v>
      </c>
      <c r="AG49" s="49" t="s">
        <v>91</v>
      </c>
    </row>
    <row r="50" spans="2:60" ht="0.25" customHeight="1" x14ac:dyDescent="0.2">
      <c r="C50" s="106" t="s">
        <v>104</v>
      </c>
      <c r="D50" s="92"/>
      <c r="E50" s="92"/>
      <c r="F50" s="92"/>
      <c r="G50" s="92"/>
      <c r="H50" s="92"/>
      <c r="I50" s="92"/>
      <c r="J50" s="92"/>
      <c r="K50" s="92"/>
      <c r="L50" s="92"/>
      <c r="M50" s="92"/>
      <c r="N50" s="92"/>
      <c r="O50" s="92"/>
      <c r="P50" s="92"/>
      <c r="R50" s="49" t="str">
        <f>D51</f>
        <v>Shaper</v>
      </c>
      <c r="W50" s="49" t="s">
        <v>123</v>
      </c>
      <c r="X50" s="49">
        <f>P51</f>
        <v>9</v>
      </c>
      <c r="Y50" s="147"/>
      <c r="Z50" s="49">
        <f>IF($X50&gt;$X51,2,IF($X50=$X51,1,0))</f>
        <v>2</v>
      </c>
      <c r="AA50" s="49">
        <f>IF($X50&gt;$X52,2,IF($X50=$X52,1,0))</f>
        <v>2</v>
      </c>
      <c r="AB50" s="49">
        <f>IF($X50&gt;$X53,2,IF($X50=$X53,1,0))</f>
        <v>2</v>
      </c>
      <c r="AC50" s="49">
        <f>IF($X50&gt;$X54,2,IF($X50=$X54,1,0))</f>
        <v>0</v>
      </c>
      <c r="AD50" s="49">
        <f>IF($X50&gt;$X55,2,IF($X50=$X55,1,0))</f>
        <v>2</v>
      </c>
      <c r="AE50" s="49">
        <f>IF($X50&gt;$X56,2,IF($X50=$X56,1,0))</f>
        <v>2</v>
      </c>
      <c r="AF50" s="49">
        <f>IF($X50&gt;$X57,2,IF($X50=$X57,1,0))</f>
        <v>0</v>
      </c>
      <c r="AG50" s="49">
        <f t="shared" ref="AG50:AG57" si="2">SUM(Y50:AF50)</f>
        <v>10</v>
      </c>
      <c r="BE50" s="4">
        <f>BL73</f>
        <v>0</v>
      </c>
    </row>
    <row r="51" spans="2:60" ht="0.25" customHeight="1" x14ac:dyDescent="0.2">
      <c r="C51" s="89"/>
      <c r="D51" s="80" t="s">
        <v>93</v>
      </c>
      <c r="E51" s="92"/>
      <c r="F51" s="92"/>
      <c r="G51" s="92"/>
      <c r="H51" s="92"/>
      <c r="I51" s="93">
        <f>Questionnaire!H72</f>
        <v>1</v>
      </c>
      <c r="J51" s="93">
        <f>Questionnaire!I72</f>
        <v>1</v>
      </c>
      <c r="K51" s="93">
        <f>Questionnaire!J72</f>
        <v>1</v>
      </c>
      <c r="L51" s="93">
        <f>Questionnaire!K72</f>
        <v>2</v>
      </c>
      <c r="M51" s="93">
        <f>Questionnaire!L72</f>
        <v>1</v>
      </c>
      <c r="N51" s="93">
        <f>Questionnaire!M72</f>
        <v>1</v>
      </c>
      <c r="O51" s="93">
        <f>Questionnaire!N72</f>
        <v>2</v>
      </c>
      <c r="P51" s="93">
        <f>Questionnaire!O72</f>
        <v>9</v>
      </c>
      <c r="R51" s="49" t="str">
        <f>D52</f>
        <v>Implementer</v>
      </c>
      <c r="W51" s="49" t="s">
        <v>86</v>
      </c>
      <c r="X51" s="49">
        <f>P52</f>
        <v>8</v>
      </c>
      <c r="Y51" s="49">
        <f>IF($X51&gt;$X$50,2,IF($X51=$X$50,1,0))</f>
        <v>0</v>
      </c>
      <c r="Z51" s="147"/>
      <c r="AA51" s="49">
        <f>IF($X51&gt;$X$52,2,IF($X51=$X$52,1,0))</f>
        <v>2</v>
      </c>
      <c r="AB51" s="49">
        <f>IF($X51&gt;$X$53,2,IF($X51=$X$53,1,0))</f>
        <v>2</v>
      </c>
      <c r="AC51" s="49">
        <f>IF($X51&gt;$X$54,2,IF($X51=$X$54,1,0))</f>
        <v>0</v>
      </c>
      <c r="AD51" s="49">
        <f>IF($X51&gt;$X$55,2,IF($X51=$X$55,1,0))</f>
        <v>2</v>
      </c>
      <c r="AE51" s="49">
        <f>IF($X51&gt;$X$56,2,IF($X51=$X$56,1,0))</f>
        <v>2</v>
      </c>
      <c r="AF51" s="49">
        <f t="shared" ref="AF51:AF56" si="3">IF($X51&gt;$X$57,2,IF($X51=$X$57,1,0))</f>
        <v>0</v>
      </c>
      <c r="AG51" s="49">
        <f t="shared" si="2"/>
        <v>8</v>
      </c>
    </row>
    <row r="52" spans="2:60" ht="0.25" customHeight="1" x14ac:dyDescent="0.2">
      <c r="C52" s="89"/>
      <c r="D52" s="80" t="s">
        <v>94</v>
      </c>
      <c r="E52" s="92"/>
      <c r="F52" s="92"/>
      <c r="G52" s="92"/>
      <c r="H52" s="92"/>
      <c r="I52" s="93">
        <f>Questionnaire!H73</f>
        <v>2</v>
      </c>
      <c r="J52" s="93">
        <f>Questionnaire!I73</f>
        <v>1</v>
      </c>
      <c r="K52" s="93">
        <f>Questionnaire!J73</f>
        <v>1</v>
      </c>
      <c r="L52" s="93">
        <f>Questionnaire!K73</f>
        <v>1</v>
      </c>
      <c r="M52" s="93">
        <f>Questionnaire!L73</f>
        <v>1</v>
      </c>
      <c r="N52" s="93">
        <f>Questionnaire!M73</f>
        <v>2</v>
      </c>
      <c r="O52" s="93">
        <f>Questionnaire!N73</f>
        <v>0</v>
      </c>
      <c r="P52" s="93">
        <f>Questionnaire!O73</f>
        <v>8</v>
      </c>
      <c r="R52" s="49" t="str">
        <f>D53</f>
        <v>Completer-Finisher</v>
      </c>
      <c r="W52" s="49" t="s">
        <v>90</v>
      </c>
      <c r="X52" s="49">
        <f>P53</f>
        <v>4</v>
      </c>
      <c r="Y52" s="49">
        <f t="shared" ref="Y52:Y57" si="4">IF($X52&gt;$X$50,2,IF($X52=$X$50,1,0))</f>
        <v>0</v>
      </c>
      <c r="Z52" s="49">
        <f t="shared" ref="Z52:Z57" si="5">IF($X52&gt;$X$51,2,IF($X52=$X$51,1,0))</f>
        <v>0</v>
      </c>
      <c r="AA52" s="147"/>
      <c r="AB52" s="49">
        <f>IF($X52&gt;$X$53,2,IF($X52=$X$53,1,0))</f>
        <v>0</v>
      </c>
      <c r="AC52" s="49">
        <f>IF($X52&gt;$X$54,2,IF($X52=$X$54,1,0))</f>
        <v>0</v>
      </c>
      <c r="AD52" s="49">
        <f>IF($X52&gt;$X$55,2,IF($X52=$X$55,1,0))</f>
        <v>0</v>
      </c>
      <c r="AE52" s="49">
        <f>IF($X52&gt;$X$56,2,IF($X52=$X$56,1,0))</f>
        <v>0</v>
      </c>
      <c r="AF52" s="49">
        <f t="shared" si="3"/>
        <v>0</v>
      </c>
      <c r="AG52" s="49">
        <f t="shared" si="2"/>
        <v>0</v>
      </c>
    </row>
    <row r="53" spans="2:60" ht="0.25" customHeight="1" x14ac:dyDescent="0.2">
      <c r="C53" s="89"/>
      <c r="D53" s="80" t="s">
        <v>97</v>
      </c>
      <c r="E53" s="92"/>
      <c r="F53" s="92"/>
      <c r="G53" s="92"/>
      <c r="H53" s="92"/>
      <c r="I53" s="93">
        <f>Questionnaire!H74</f>
        <v>0</v>
      </c>
      <c r="J53" s="93">
        <f>Questionnaire!I74</f>
        <v>0</v>
      </c>
      <c r="K53" s="93">
        <f>Questionnaire!J74</f>
        <v>2</v>
      </c>
      <c r="L53" s="93">
        <f>Questionnaire!K74</f>
        <v>1</v>
      </c>
      <c r="M53" s="93">
        <f>Questionnaire!L74</f>
        <v>0</v>
      </c>
      <c r="N53" s="93">
        <f>Questionnaire!M74</f>
        <v>1</v>
      </c>
      <c r="O53" s="93">
        <f>Questionnaire!N74</f>
        <v>0</v>
      </c>
      <c r="P53" s="93">
        <f>Questionnaire!O74</f>
        <v>4</v>
      </c>
      <c r="R53" s="49" t="str">
        <f>D55</f>
        <v>Co-ordinator</v>
      </c>
      <c r="W53" s="49" t="s">
        <v>19</v>
      </c>
      <c r="X53" s="49">
        <f>P55</f>
        <v>5</v>
      </c>
      <c r="Y53" s="49">
        <f t="shared" si="4"/>
        <v>0</v>
      </c>
      <c r="Z53" s="49">
        <f t="shared" si="5"/>
        <v>0</v>
      </c>
      <c r="AA53" s="49">
        <f>IF($X53&gt;$X$52,2,IF($X53=$X$52,1,0))</f>
        <v>2</v>
      </c>
      <c r="AB53" s="147"/>
      <c r="AC53" s="49">
        <f t="shared" ref="AC53" si="6">IF($X53&gt;$X$54,2,IF($X53=$X$54,1,0))</f>
        <v>0</v>
      </c>
      <c r="AD53" s="49">
        <f t="shared" ref="AD53:AD54" si="7">IF($X53&gt;$X$55,2,IF($X53=$X$55,1,0))</f>
        <v>1</v>
      </c>
      <c r="AE53" s="49">
        <f t="shared" ref="AE53:AE55" si="8">IF($X53&gt;$X$56,2,IF($X53=$X$56,1,0))</f>
        <v>0</v>
      </c>
      <c r="AF53" s="49">
        <f t="shared" si="3"/>
        <v>0</v>
      </c>
      <c r="AG53" s="49">
        <f t="shared" si="2"/>
        <v>3</v>
      </c>
    </row>
    <row r="54" spans="2:60" ht="0.25" customHeight="1" x14ac:dyDescent="0.2">
      <c r="C54" s="107" t="s">
        <v>103</v>
      </c>
      <c r="D54" s="83"/>
      <c r="E54" s="94"/>
      <c r="F54" s="94"/>
      <c r="G54" s="94"/>
      <c r="H54" s="94"/>
      <c r="I54" s="95">
        <f>Questionnaire!H75</f>
        <v>0</v>
      </c>
      <c r="J54" s="95">
        <f>Questionnaire!I75</f>
        <v>0</v>
      </c>
      <c r="K54" s="95">
        <f>Questionnaire!J75</f>
        <v>0</v>
      </c>
      <c r="L54" s="95">
        <f>Questionnaire!K75</f>
        <v>0</v>
      </c>
      <c r="M54" s="95">
        <f>Questionnaire!L75</f>
        <v>0</v>
      </c>
      <c r="N54" s="95">
        <f>Questionnaire!M75</f>
        <v>0</v>
      </c>
      <c r="O54" s="95">
        <f>Questionnaire!N75</f>
        <v>0</v>
      </c>
      <c r="P54" s="95">
        <f>Questionnaire!O75</f>
        <v>0</v>
      </c>
      <c r="R54" s="49" t="str">
        <f>D56</f>
        <v>Team Worker</v>
      </c>
      <c r="W54" s="49" t="s">
        <v>89</v>
      </c>
      <c r="X54" s="49">
        <f>P56</f>
        <v>12</v>
      </c>
      <c r="Y54" s="49">
        <f t="shared" si="4"/>
        <v>2</v>
      </c>
      <c r="Z54" s="49">
        <f t="shared" si="5"/>
        <v>2</v>
      </c>
      <c r="AA54" s="49">
        <f t="shared" ref="AA54:AA56" si="9">IF($X54&gt;$X$52,2,IF($X54=$X$52,1,0))</f>
        <v>2</v>
      </c>
      <c r="AB54" s="49">
        <f>IF($X54&gt;$X$53,2,IF($X54=$X$53,1,0))</f>
        <v>2</v>
      </c>
      <c r="AC54" s="147"/>
      <c r="AD54" s="49">
        <f t="shared" si="7"/>
        <v>2</v>
      </c>
      <c r="AE54" s="49">
        <f t="shared" si="8"/>
        <v>2</v>
      </c>
      <c r="AF54" s="49">
        <f t="shared" si="3"/>
        <v>0</v>
      </c>
      <c r="AG54" s="49">
        <f t="shared" si="2"/>
        <v>12</v>
      </c>
    </row>
    <row r="55" spans="2:60" ht="0.25" customHeight="1" x14ac:dyDescent="0.2">
      <c r="C55" s="90"/>
      <c r="D55" s="83" t="s">
        <v>98</v>
      </c>
      <c r="E55" s="94"/>
      <c r="F55" s="94"/>
      <c r="G55" s="94"/>
      <c r="H55" s="94"/>
      <c r="I55" s="95">
        <f>Questionnaire!H76</f>
        <v>0</v>
      </c>
      <c r="J55" s="95">
        <f>Questionnaire!I76</f>
        <v>3</v>
      </c>
      <c r="K55" s="95">
        <f>Questionnaire!J76</f>
        <v>0</v>
      </c>
      <c r="L55" s="95">
        <f>Questionnaire!K76</f>
        <v>0</v>
      </c>
      <c r="M55" s="95">
        <f>Questionnaire!L76</f>
        <v>1</v>
      </c>
      <c r="N55" s="95">
        <f>Questionnaire!M76</f>
        <v>1</v>
      </c>
      <c r="O55" s="95">
        <f>Questionnaire!N76</f>
        <v>0</v>
      </c>
      <c r="P55" s="95">
        <f>Questionnaire!O76</f>
        <v>5</v>
      </c>
      <c r="R55" s="49" t="str">
        <f>D57</f>
        <v>Resource Investigator</v>
      </c>
      <c r="W55" s="49" t="s">
        <v>87</v>
      </c>
      <c r="X55" s="49">
        <f>P57</f>
        <v>5</v>
      </c>
      <c r="Y55" s="49">
        <f t="shared" si="4"/>
        <v>0</v>
      </c>
      <c r="Z55" s="49">
        <f t="shared" si="5"/>
        <v>0</v>
      </c>
      <c r="AA55" s="49">
        <f t="shared" si="9"/>
        <v>2</v>
      </c>
      <c r="AB55" s="49">
        <f t="shared" ref="AB55:AB57" si="10">IF($X55&gt;$X$53,2,IF($X55=$X$53,1,0))</f>
        <v>1</v>
      </c>
      <c r="AC55" s="49">
        <f>IF($X55&gt;$X$54,2,IF($X55=$X$54,1,0))</f>
        <v>0</v>
      </c>
      <c r="AD55" s="147"/>
      <c r="AE55" s="49">
        <f t="shared" si="8"/>
        <v>0</v>
      </c>
      <c r="AF55" s="49">
        <f t="shared" si="3"/>
        <v>0</v>
      </c>
      <c r="AG55" s="49">
        <f t="shared" si="2"/>
        <v>3</v>
      </c>
    </row>
    <row r="56" spans="2:60" ht="0.25" customHeight="1" x14ac:dyDescent="0.2">
      <c r="C56" s="90"/>
      <c r="D56" s="85" t="s">
        <v>95</v>
      </c>
      <c r="E56" s="94"/>
      <c r="F56" s="94"/>
      <c r="G56" s="94"/>
      <c r="H56" s="94"/>
      <c r="I56" s="95">
        <f>Questionnaire!H77</f>
        <v>2</v>
      </c>
      <c r="J56" s="95">
        <f>Questionnaire!I77</f>
        <v>3</v>
      </c>
      <c r="K56" s="95">
        <f>Questionnaire!J77</f>
        <v>2</v>
      </c>
      <c r="L56" s="95">
        <f>Questionnaire!K77</f>
        <v>1</v>
      </c>
      <c r="M56" s="95">
        <f>Questionnaire!L77</f>
        <v>0</v>
      </c>
      <c r="N56" s="95">
        <f>Questionnaire!M77</f>
        <v>1</v>
      </c>
      <c r="O56" s="95">
        <f>Questionnaire!N77</f>
        <v>3</v>
      </c>
      <c r="P56" s="95">
        <f>Questionnaire!O77</f>
        <v>12</v>
      </c>
      <c r="R56" s="49" t="str">
        <f>D60</f>
        <v>Plant</v>
      </c>
      <c r="W56" s="49" t="s">
        <v>124</v>
      </c>
      <c r="X56" s="49">
        <f>P60</f>
        <v>7</v>
      </c>
      <c r="Y56" s="49">
        <f t="shared" si="4"/>
        <v>0</v>
      </c>
      <c r="Z56" s="49">
        <f t="shared" si="5"/>
        <v>0</v>
      </c>
      <c r="AA56" s="49">
        <f t="shared" si="9"/>
        <v>2</v>
      </c>
      <c r="AB56" s="49">
        <f t="shared" si="10"/>
        <v>2</v>
      </c>
      <c r="AC56" s="49">
        <f t="shared" ref="AC56:AC57" si="11">IF($X56&gt;$X$54,2,IF($X56=$X$54,1,0))</f>
        <v>0</v>
      </c>
      <c r="AD56" s="49">
        <f>IF($X56&gt;$X$55,2,IF($X56=$X$55,1,0))</f>
        <v>2</v>
      </c>
      <c r="AE56" s="147"/>
      <c r="AF56" s="49">
        <f t="shared" si="3"/>
        <v>0</v>
      </c>
      <c r="AG56" s="49">
        <f t="shared" si="2"/>
        <v>6</v>
      </c>
    </row>
    <row r="57" spans="2:60" ht="0.25" customHeight="1" x14ac:dyDescent="0.2">
      <c r="C57" s="90"/>
      <c r="D57" s="85" t="s">
        <v>96</v>
      </c>
      <c r="E57" s="94"/>
      <c r="F57" s="94"/>
      <c r="G57" s="94"/>
      <c r="H57" s="94"/>
      <c r="I57" s="95">
        <f>Questionnaire!H78</f>
        <v>1</v>
      </c>
      <c r="J57" s="95">
        <f>Questionnaire!I78</f>
        <v>0</v>
      </c>
      <c r="K57" s="95">
        <f>Questionnaire!J78</f>
        <v>2</v>
      </c>
      <c r="L57" s="95">
        <f>Questionnaire!K78</f>
        <v>0</v>
      </c>
      <c r="M57" s="95">
        <f>Questionnaire!L78</f>
        <v>2</v>
      </c>
      <c r="N57" s="95">
        <f>Questionnaire!M78</f>
        <v>0</v>
      </c>
      <c r="O57" s="95">
        <f>Questionnaire!N78</f>
        <v>0</v>
      </c>
      <c r="P57" s="95">
        <f>Questionnaire!O78</f>
        <v>5</v>
      </c>
      <c r="R57" s="49" t="str">
        <f>D61</f>
        <v xml:space="preserve">Monitor Evaluator
</v>
      </c>
      <c r="W57" s="49" t="s">
        <v>88</v>
      </c>
      <c r="X57" s="49">
        <f>P61</f>
        <v>20</v>
      </c>
      <c r="Y57" s="49">
        <f t="shared" si="4"/>
        <v>2</v>
      </c>
      <c r="Z57" s="49">
        <f t="shared" si="5"/>
        <v>2</v>
      </c>
      <c r="AA57" s="49">
        <f>IF($X57&gt;$X$52,2,IF($X57=$X$52,1,0))</f>
        <v>2</v>
      </c>
      <c r="AB57" s="49">
        <f t="shared" si="10"/>
        <v>2</v>
      </c>
      <c r="AC57" s="49">
        <f t="shared" si="11"/>
        <v>2</v>
      </c>
      <c r="AD57" s="49">
        <f>IF($X57&gt;$X$55,2,IF($X57=$X$55,1,0))</f>
        <v>2</v>
      </c>
      <c r="AE57" s="49">
        <f>IF($X57&gt;$X$56,2,IF($X57=$X$56,1,0))</f>
        <v>2</v>
      </c>
      <c r="AF57" s="147"/>
      <c r="AG57" s="49">
        <f t="shared" si="2"/>
        <v>14</v>
      </c>
    </row>
    <row r="58" spans="2:60" ht="0.25" customHeight="1" x14ac:dyDescent="0.2">
      <c r="C58" s="108" t="s">
        <v>102</v>
      </c>
      <c r="D58" s="77"/>
      <c r="E58" s="96"/>
      <c r="F58" s="96"/>
      <c r="G58" s="96"/>
      <c r="H58" s="96"/>
      <c r="I58" s="97">
        <f>Questionnaire!H79</f>
        <v>0</v>
      </c>
      <c r="J58" s="97">
        <f>Questionnaire!I79</f>
        <v>0</v>
      </c>
      <c r="K58" s="97">
        <f>Questionnaire!J79</f>
        <v>0</v>
      </c>
      <c r="L58" s="97">
        <f>Questionnaire!K79</f>
        <v>0</v>
      </c>
      <c r="M58" s="97">
        <f>Questionnaire!L79</f>
        <v>0</v>
      </c>
      <c r="N58" s="97">
        <f>Questionnaire!M79</f>
        <v>0</v>
      </c>
      <c r="O58" s="97">
        <f>Questionnaire!N79</f>
        <v>0</v>
      </c>
      <c r="P58" s="97">
        <f>Questionnaire!O79</f>
        <v>0</v>
      </c>
      <c r="AG58" s="49">
        <f>AN81</f>
        <v>0</v>
      </c>
    </row>
    <row r="59" spans="2:60" ht="0.25" customHeight="1" x14ac:dyDescent="0.2">
      <c r="C59" s="77"/>
      <c r="D59" s="77" t="s">
        <v>99</v>
      </c>
      <c r="E59" s="96"/>
      <c r="F59" s="96"/>
      <c r="G59" s="96"/>
      <c r="H59" s="96"/>
      <c r="I59" s="97">
        <f>Questionnaire!H80</f>
        <v>0</v>
      </c>
      <c r="J59" s="97">
        <f>Questionnaire!I80</f>
        <v>0</v>
      </c>
      <c r="K59" s="97">
        <f>Questionnaire!J80</f>
        <v>0</v>
      </c>
      <c r="L59" s="97">
        <f>Questionnaire!K80</f>
        <v>0</v>
      </c>
      <c r="M59" s="97">
        <f>Questionnaire!L80</f>
        <v>0</v>
      </c>
      <c r="N59" s="97">
        <f>Questionnaire!M80</f>
        <v>0</v>
      </c>
      <c r="O59" s="97">
        <f>Questionnaire!N80</f>
        <v>0</v>
      </c>
      <c r="P59" s="97">
        <f>Questionnaire!O80</f>
        <v>0</v>
      </c>
    </row>
    <row r="60" spans="2:60" s="49" customFormat="1" ht="0.25" customHeight="1" x14ac:dyDescent="0.2">
      <c r="B60" s="4"/>
      <c r="C60" s="77"/>
      <c r="D60" s="77" t="s">
        <v>100</v>
      </c>
      <c r="E60" s="96"/>
      <c r="F60" s="96"/>
      <c r="G60" s="96"/>
      <c r="H60" s="96"/>
      <c r="I60" s="97">
        <f>Questionnaire!H81</f>
        <v>0</v>
      </c>
      <c r="J60" s="97">
        <f>Questionnaire!I81</f>
        <v>0</v>
      </c>
      <c r="K60" s="97">
        <f>Questionnaire!J81</f>
        <v>1</v>
      </c>
      <c r="L60" s="97">
        <f>Questionnaire!K81</f>
        <v>3</v>
      </c>
      <c r="M60" s="97">
        <f>Questionnaire!L81</f>
        <v>3</v>
      </c>
      <c r="N60" s="97">
        <f>Questionnaire!M81</f>
        <v>0</v>
      </c>
      <c r="O60" s="97">
        <f>Questionnaire!N81</f>
        <v>0</v>
      </c>
      <c r="P60" s="97">
        <f>Questionnaire!O81</f>
        <v>7</v>
      </c>
      <c r="T60" s="49">
        <f t="shared" ref="T60:T61" si="12">D62</f>
        <v>0</v>
      </c>
      <c r="AJ60" s="4"/>
      <c r="AK60" s="4"/>
      <c r="AL60" s="4"/>
      <c r="AM60" s="4"/>
      <c r="AN60" s="4"/>
      <c r="AO60" s="4"/>
      <c r="AP60" s="4"/>
      <c r="AQ60" s="4"/>
      <c r="AR60" s="4"/>
      <c r="AS60" s="4"/>
      <c r="AT60" s="4"/>
      <c r="AU60" s="4"/>
      <c r="AV60" s="4"/>
      <c r="AW60" s="4"/>
      <c r="AX60" s="4"/>
      <c r="AY60" s="4"/>
      <c r="AZ60" s="4"/>
      <c r="BA60" s="4"/>
      <c r="BB60" s="4"/>
      <c r="BC60" s="4"/>
      <c r="BD60" s="4"/>
      <c r="BE60" s="4"/>
      <c r="BF60" s="4"/>
      <c r="BG60" s="4"/>
      <c r="BH60" s="4"/>
    </row>
    <row r="61" spans="2:60" s="49" customFormat="1" ht="0.25" customHeight="1" x14ac:dyDescent="0.2">
      <c r="B61" s="4"/>
      <c r="C61" s="77"/>
      <c r="D61" s="86" t="s">
        <v>101</v>
      </c>
      <c r="E61" s="96"/>
      <c r="F61" s="96"/>
      <c r="G61" s="96"/>
      <c r="H61" s="96"/>
      <c r="I61" s="97">
        <f>Questionnaire!H82</f>
        <v>4</v>
      </c>
      <c r="J61" s="97">
        <f>Questionnaire!I82</f>
        <v>2</v>
      </c>
      <c r="K61" s="97">
        <f>Questionnaire!J82</f>
        <v>1</v>
      </c>
      <c r="L61" s="97">
        <f>Questionnaire!K82</f>
        <v>2</v>
      </c>
      <c r="M61" s="97">
        <f>Questionnaire!L82</f>
        <v>2</v>
      </c>
      <c r="N61" s="97">
        <f>Questionnaire!M82</f>
        <v>4</v>
      </c>
      <c r="O61" s="97">
        <f>Questionnaire!N82</f>
        <v>5</v>
      </c>
      <c r="P61" s="97">
        <f>Questionnaire!O82</f>
        <v>20</v>
      </c>
      <c r="T61" s="49">
        <f t="shared" si="12"/>
        <v>0</v>
      </c>
      <c r="AJ61" s="4"/>
      <c r="AK61" s="4"/>
      <c r="AL61" s="4"/>
      <c r="AM61" s="4"/>
      <c r="AN61" s="4"/>
      <c r="AO61" s="4"/>
      <c r="AP61" s="4"/>
      <c r="AQ61" s="4"/>
      <c r="AR61" s="4"/>
      <c r="AS61" s="4"/>
      <c r="AT61" s="4"/>
      <c r="AU61" s="4"/>
      <c r="AV61" s="4"/>
      <c r="AW61" s="4"/>
      <c r="AX61" s="4"/>
      <c r="AY61" s="4"/>
      <c r="AZ61" s="4"/>
      <c r="BA61" s="4"/>
      <c r="BB61" s="4"/>
      <c r="BC61" s="4"/>
      <c r="BD61" s="4"/>
      <c r="BE61" s="4"/>
      <c r="BF61" s="4"/>
      <c r="BG61" s="4"/>
      <c r="BH61" s="4"/>
    </row>
    <row r="62" spans="2:60" ht="18" customHeight="1" x14ac:dyDescent="0.2"/>
    <row r="63" spans="2:60" ht="18" customHeight="1" x14ac:dyDescent="0.2"/>
    <row r="64" spans="2:60" ht="18" customHeight="1" x14ac:dyDescent="0.2"/>
    <row r="65" ht="18" customHeight="1" x14ac:dyDescent="0.2"/>
    <row r="66" ht="18" customHeight="1" x14ac:dyDescent="0.2"/>
    <row r="67" ht="20" customHeight="1" x14ac:dyDescent="0.2"/>
    <row r="68" ht="20" customHeight="1" x14ac:dyDescent="0.2"/>
  </sheetData>
  <sheetProtection selectLockedCells="1"/>
  <sortState xmlns:xlrd2="http://schemas.microsoft.com/office/spreadsheetml/2017/richdata2" ref="Y26:Z33">
    <sortCondition descending="1" ref="Y26"/>
  </sortState>
  <mergeCells count="44">
    <mergeCell ref="AU36:BC36"/>
    <mergeCell ref="C42:H42"/>
    <mergeCell ref="I42:AS46"/>
    <mergeCell ref="AU14:BC25"/>
    <mergeCell ref="C30:V40"/>
    <mergeCell ref="K20:O20"/>
    <mergeCell ref="D15:H15"/>
    <mergeCell ref="K15:O15"/>
    <mergeCell ref="R15:V15"/>
    <mergeCell ref="D17:V17"/>
    <mergeCell ref="AU46:AX46"/>
    <mergeCell ref="AZ46:BC46"/>
    <mergeCell ref="C10:K10"/>
    <mergeCell ref="AU27:BC27"/>
    <mergeCell ref="AU28:AY31"/>
    <mergeCell ref="AV32:BB33"/>
    <mergeCell ref="D24:H24"/>
    <mergeCell ref="K24:O24"/>
    <mergeCell ref="R24:V24"/>
    <mergeCell ref="D25:H25"/>
    <mergeCell ref="K25:O25"/>
    <mergeCell ref="R25:V25"/>
    <mergeCell ref="R20:V20"/>
    <mergeCell ref="D22:V22"/>
    <mergeCell ref="D19:H19"/>
    <mergeCell ref="K19:O19"/>
    <mergeCell ref="R19:V19"/>
    <mergeCell ref="D20:H20"/>
    <mergeCell ref="D12:V12"/>
    <mergeCell ref="D14:H14"/>
    <mergeCell ref="K14:O14"/>
    <mergeCell ref="R14:V14"/>
    <mergeCell ref="C29:K29"/>
    <mergeCell ref="AU13:BC13"/>
    <mergeCell ref="AU11:AW11"/>
    <mergeCell ref="AX11:BC11"/>
    <mergeCell ref="AU7:BC7"/>
    <mergeCell ref="AU9:AY9"/>
    <mergeCell ref="AZ9:BC9"/>
    <mergeCell ref="C3:H7"/>
    <mergeCell ref="AU3:BC5"/>
    <mergeCell ref="K7:O7"/>
    <mergeCell ref="K3:AR5"/>
    <mergeCell ref="P7:AR7"/>
  </mergeCells>
  <conditionalFormatting sqref="AT14">
    <cfRule type="cellIs" dxfId="23" priority="48" stopIfTrue="1" operator="equal">
      <formula>#REF!</formula>
    </cfRule>
  </conditionalFormatting>
  <conditionalFormatting sqref="AU7">
    <cfRule type="cellIs" dxfId="22" priority="41" operator="equal">
      <formula>$AV$8</formula>
    </cfRule>
    <cfRule type="cellIs" dxfId="21" priority="42" stopIfTrue="1" operator="equal">
      <formula>$AW$8</formula>
    </cfRule>
    <cfRule type="cellIs" dxfId="20" priority="43" stopIfTrue="1" operator="equal">
      <formula>$AX$8</formula>
    </cfRule>
    <cfRule type="cellIs" dxfId="19" priority="44" stopIfTrue="1" operator="equal">
      <formula>$AY$8</formula>
    </cfRule>
  </conditionalFormatting>
  <conditionalFormatting sqref="AU7:BC7">
    <cfRule type="cellIs" dxfId="18" priority="37" operator="equal">
      <formula>$BC$8</formula>
    </cfRule>
    <cfRule type="cellIs" dxfId="17" priority="38" operator="equal">
      <formula>$BB$8</formula>
    </cfRule>
    <cfRule type="cellIs" dxfId="16" priority="39" operator="equal">
      <formula>$BA$8</formula>
    </cfRule>
    <cfRule type="cellIs" dxfId="15" priority="40" operator="equal">
      <formula>$AZ$8</formula>
    </cfRule>
  </conditionalFormatting>
  <conditionalFormatting sqref="P7">
    <cfRule type="cellIs" dxfId="14" priority="3" stopIfTrue="1" operator="equal">
      <formula>#REF!</formula>
    </cfRule>
  </conditionalFormatting>
  <conditionalFormatting sqref="P7">
    <cfRule type="cellIs" dxfId="13" priority="2" stopIfTrue="1" operator="equal">
      <formula>#REF!</formula>
    </cfRule>
  </conditionalFormatting>
  <conditionalFormatting sqref="P7">
    <cfRule type="cellIs" dxfId="12" priority="1" stopIfTrue="1" operator="equal">
      <formula>#REF!</formula>
    </cfRule>
  </conditionalFormatting>
  <dataValidations count="2">
    <dataValidation type="list" allowBlank="1" showInputMessage="1" showErrorMessage="1" sqref="AQ29:AR29 AQ27:AR27 AQ24:AR24" xr:uid="{00000000-0002-0000-0100-000000000000}">
      <formula1>$AT$19:$AT$26</formula1>
    </dataValidation>
    <dataValidation type="list" allowBlank="1" showInputMessage="1" showErrorMessage="1" sqref="AU7:BC7" xr:uid="{00000000-0002-0000-0100-000001000000}">
      <formula1>$AU$8:$BC$8</formula1>
    </dataValidation>
  </dataValidations>
  <hyperlinks>
    <hyperlink ref="AV32" r:id="rId1" xr:uid="{00000000-0004-0000-0100-000000000000}"/>
  </hyperlinks>
  <printOptions horizontalCentered="1" verticalCentered="1"/>
  <pageMargins left="0.78740157480314965" right="0.19685039370078741" top="0.19685039370078741" bottom="0.19685039370078741" header="0" footer="0"/>
  <pageSetup paperSize="8" scale="97" orientation="landscape"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4" tint="-0.249977111117893"/>
    <pageSetUpPr fitToPage="1"/>
  </sheetPr>
  <dimension ref="A1:BC60"/>
  <sheetViews>
    <sheetView showGridLines="0" showRowColHeaders="0" showZeros="0" zoomScaleNormal="100" zoomScaleSheetLayoutView="100" workbookViewId="0">
      <selection activeCell="BG15" sqref="BG15"/>
    </sheetView>
  </sheetViews>
  <sheetFormatPr baseColWidth="10" defaultColWidth="3.6640625" defaultRowHeight="15" x14ac:dyDescent="0.2"/>
  <cols>
    <col min="1" max="1" width="1.6640625" style="4" customWidth="1"/>
    <col min="2" max="34" width="3.6640625" style="49" customWidth="1"/>
    <col min="35" max="54" width="3.6640625" style="4" customWidth="1"/>
    <col min="55" max="55" width="1.6640625" style="4" customWidth="1"/>
    <col min="56" max="16384" width="3.6640625" style="4"/>
  </cols>
  <sheetData>
    <row r="1" spans="1:55" ht="9" customHeight="1" thickTop="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3"/>
    </row>
    <row r="2" spans="1:55" s="8" customFormat="1" ht="18" customHeight="1" thickTop="1" x14ac:dyDescent="0.15">
      <c r="A2" s="5"/>
      <c r="B2" s="209"/>
      <c r="C2" s="209"/>
      <c r="D2" s="209"/>
      <c r="E2" s="209"/>
      <c r="F2" s="209"/>
      <c r="G2" s="209"/>
      <c r="H2" s="6"/>
      <c r="I2" s="6"/>
      <c r="J2" s="217" t="s">
        <v>213</v>
      </c>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9"/>
      <c r="AR2" s="6"/>
      <c r="AS2" s="6"/>
      <c r="AT2" s="210" t="s">
        <v>131</v>
      </c>
      <c r="AU2" s="211"/>
      <c r="AV2" s="211"/>
      <c r="AW2" s="211"/>
      <c r="AX2" s="211"/>
      <c r="AY2" s="211"/>
      <c r="AZ2" s="211"/>
      <c r="BA2" s="211"/>
      <c r="BB2" s="211"/>
      <c r="BC2" s="7"/>
    </row>
    <row r="3" spans="1:55" s="11" customFormat="1" ht="18" customHeight="1" x14ac:dyDescent="0.15">
      <c r="A3" s="5"/>
      <c r="B3" s="209"/>
      <c r="C3" s="209"/>
      <c r="D3" s="209"/>
      <c r="E3" s="209"/>
      <c r="F3" s="209"/>
      <c r="G3" s="209"/>
      <c r="H3" s="9"/>
      <c r="I3" s="9"/>
      <c r="J3" s="220"/>
      <c r="K3" s="221"/>
      <c r="L3" s="221"/>
      <c r="M3" s="221"/>
      <c r="N3" s="221"/>
      <c r="O3" s="221"/>
      <c r="P3" s="221"/>
      <c r="Q3" s="221"/>
      <c r="R3" s="221"/>
      <c r="S3" s="221"/>
      <c r="T3" s="221"/>
      <c r="U3" s="221"/>
      <c r="V3" s="221"/>
      <c r="W3" s="221"/>
      <c r="X3" s="221"/>
      <c r="Y3" s="221"/>
      <c r="Z3" s="221"/>
      <c r="AA3" s="221"/>
      <c r="AB3" s="221"/>
      <c r="AC3" s="221"/>
      <c r="AD3" s="221"/>
      <c r="AE3" s="221"/>
      <c r="AF3" s="221"/>
      <c r="AG3" s="221"/>
      <c r="AH3" s="221"/>
      <c r="AI3" s="221"/>
      <c r="AJ3" s="221"/>
      <c r="AK3" s="221"/>
      <c r="AL3" s="221"/>
      <c r="AM3" s="221"/>
      <c r="AN3" s="221"/>
      <c r="AO3" s="221"/>
      <c r="AP3" s="221"/>
      <c r="AQ3" s="222"/>
      <c r="AR3" s="10"/>
      <c r="AS3" s="10"/>
      <c r="AT3" s="211"/>
      <c r="AU3" s="211"/>
      <c r="AV3" s="211"/>
      <c r="AW3" s="211"/>
      <c r="AX3" s="211"/>
      <c r="AY3" s="211"/>
      <c r="AZ3" s="211"/>
      <c r="BA3" s="211"/>
      <c r="BB3" s="211"/>
      <c r="BC3" s="7"/>
    </row>
    <row r="4" spans="1:55" s="13" customFormat="1" ht="18" customHeight="1" x14ac:dyDescent="0.15">
      <c r="A4" s="5"/>
      <c r="B4" s="209"/>
      <c r="C4" s="209"/>
      <c r="D4" s="209"/>
      <c r="E4" s="209"/>
      <c r="F4" s="209"/>
      <c r="G4" s="209"/>
      <c r="H4" s="12"/>
      <c r="I4" s="12"/>
      <c r="J4" s="223"/>
      <c r="K4" s="224"/>
      <c r="L4" s="224"/>
      <c r="M4" s="224"/>
      <c r="N4" s="224"/>
      <c r="O4" s="224"/>
      <c r="P4" s="224"/>
      <c r="Q4" s="224"/>
      <c r="R4" s="224"/>
      <c r="S4" s="224"/>
      <c r="T4" s="224"/>
      <c r="U4" s="224"/>
      <c r="V4" s="224"/>
      <c r="W4" s="224"/>
      <c r="X4" s="224"/>
      <c r="Y4" s="224"/>
      <c r="Z4" s="224"/>
      <c r="AA4" s="224"/>
      <c r="AB4" s="224"/>
      <c r="AC4" s="224"/>
      <c r="AD4" s="224"/>
      <c r="AE4" s="224"/>
      <c r="AF4" s="224"/>
      <c r="AG4" s="224"/>
      <c r="AH4" s="224"/>
      <c r="AI4" s="224"/>
      <c r="AJ4" s="224"/>
      <c r="AK4" s="224"/>
      <c r="AL4" s="224"/>
      <c r="AM4" s="224"/>
      <c r="AN4" s="224"/>
      <c r="AO4" s="224"/>
      <c r="AP4" s="224"/>
      <c r="AQ4" s="225"/>
      <c r="AR4" s="12"/>
      <c r="AS4" s="12"/>
      <c r="AT4" s="211"/>
      <c r="AU4" s="211"/>
      <c r="AV4" s="211"/>
      <c r="AW4" s="211"/>
      <c r="AX4" s="211"/>
      <c r="AY4" s="211"/>
      <c r="AZ4" s="211"/>
      <c r="BA4" s="211"/>
      <c r="BB4" s="211"/>
      <c r="BC4" s="7"/>
    </row>
    <row r="5" spans="1:55" s="13" customFormat="1" ht="9" customHeight="1" thickBot="1" x14ac:dyDescent="0.25">
      <c r="A5" s="5"/>
      <c r="B5" s="209"/>
      <c r="C5" s="209"/>
      <c r="D5" s="209"/>
      <c r="E5" s="209"/>
      <c r="F5" s="209"/>
      <c r="G5" s="209"/>
      <c r="H5" s="12"/>
      <c r="I5" s="12"/>
      <c r="J5" s="14"/>
      <c r="K5" s="15"/>
      <c r="L5" s="15"/>
      <c r="M5" s="15"/>
      <c r="N5" s="15"/>
      <c r="O5" s="15"/>
      <c r="P5" s="15"/>
      <c r="Q5" s="15"/>
      <c r="R5" s="15"/>
      <c r="S5" s="15"/>
      <c r="T5" s="15"/>
      <c r="U5" s="15"/>
      <c r="V5" s="15"/>
      <c r="W5" s="15"/>
      <c r="X5" s="15"/>
      <c r="Y5" s="15"/>
      <c r="Z5" s="15"/>
      <c r="AA5" s="16"/>
      <c r="AB5" s="16"/>
      <c r="AC5" s="16"/>
      <c r="AD5" s="16"/>
      <c r="AE5" s="16"/>
      <c r="AF5" s="15"/>
      <c r="AG5" s="15"/>
      <c r="AH5" s="15"/>
      <c r="AI5" s="15"/>
      <c r="AJ5" s="15"/>
      <c r="AK5" s="15"/>
      <c r="AL5" s="15"/>
      <c r="AM5" s="15"/>
      <c r="AN5" s="15"/>
      <c r="AO5" s="15"/>
      <c r="AP5" s="15"/>
      <c r="AQ5" s="17"/>
      <c r="AR5" s="12"/>
      <c r="AS5" s="12"/>
      <c r="AT5" s="12"/>
      <c r="AU5" s="12"/>
      <c r="AV5" s="18"/>
      <c r="AW5" s="18"/>
      <c r="AX5" s="18"/>
      <c r="AY5" s="18"/>
      <c r="AZ5" s="18"/>
      <c r="BA5" s="18"/>
      <c r="BB5" s="18"/>
      <c r="BC5" s="7"/>
    </row>
    <row r="6" spans="1:55" s="13" customFormat="1" ht="18" customHeight="1" thickTop="1" thickBot="1" x14ac:dyDescent="0.2">
      <c r="A6" s="5"/>
      <c r="B6" s="209"/>
      <c r="C6" s="209"/>
      <c r="D6" s="209"/>
      <c r="E6" s="209"/>
      <c r="F6" s="209"/>
      <c r="G6" s="209"/>
      <c r="H6" s="19"/>
      <c r="I6" s="19"/>
      <c r="J6" s="212" t="s">
        <v>211</v>
      </c>
      <c r="K6" s="213"/>
      <c r="L6" s="213"/>
      <c r="M6" s="213"/>
      <c r="N6" s="213"/>
      <c r="O6" s="226">
        <f>Questionnaire!O6</f>
        <v>0</v>
      </c>
      <c r="P6" s="226"/>
      <c r="Q6" s="226"/>
      <c r="R6" s="226"/>
      <c r="S6" s="226"/>
      <c r="T6" s="226"/>
      <c r="U6" s="226"/>
      <c r="V6" s="226"/>
      <c r="W6" s="226"/>
      <c r="X6" s="226"/>
      <c r="Y6" s="226"/>
      <c r="Z6" s="226"/>
      <c r="AA6" s="227"/>
      <c r="AB6" s="227"/>
      <c r="AC6" s="227"/>
      <c r="AD6" s="227"/>
      <c r="AE6" s="227"/>
      <c r="AF6" s="227"/>
      <c r="AG6" s="227"/>
      <c r="AH6" s="227"/>
      <c r="AI6" s="227"/>
      <c r="AJ6" s="227"/>
      <c r="AK6" s="227"/>
      <c r="AL6" s="227"/>
      <c r="AM6" s="227"/>
      <c r="AN6" s="227"/>
      <c r="AO6" s="227"/>
      <c r="AP6" s="227"/>
      <c r="AQ6" s="228"/>
      <c r="AR6" s="19"/>
      <c r="AS6" s="12"/>
      <c r="AT6" s="214" t="s">
        <v>0</v>
      </c>
      <c r="AU6" s="215"/>
      <c r="AV6" s="215"/>
      <c r="AW6" s="215"/>
      <c r="AX6" s="215"/>
      <c r="AY6" s="215"/>
      <c r="AZ6" s="215"/>
      <c r="BA6" s="215"/>
      <c r="BB6" s="216"/>
      <c r="BC6" s="7"/>
    </row>
    <row r="7" spans="1:55" s="13" customFormat="1" ht="9" customHeight="1" thickTop="1" thickBot="1" x14ac:dyDescent="0.2">
      <c r="A7" s="5"/>
      <c r="B7" s="12"/>
      <c r="C7" s="12"/>
      <c r="D7" s="20"/>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21" t="s">
        <v>1</v>
      </c>
      <c r="AU7" s="21" t="s">
        <v>2</v>
      </c>
      <c r="AV7" s="21" t="s">
        <v>3</v>
      </c>
      <c r="AW7" s="21" t="s">
        <v>4</v>
      </c>
      <c r="AX7" s="21" t="s">
        <v>5</v>
      </c>
      <c r="AY7" s="21" t="s">
        <v>6</v>
      </c>
      <c r="AZ7" s="21" t="s">
        <v>0</v>
      </c>
      <c r="BA7" s="21" t="s">
        <v>7</v>
      </c>
      <c r="BB7" s="21" t="s">
        <v>8</v>
      </c>
      <c r="BC7" s="7"/>
    </row>
    <row r="8" spans="1:55" s="23" customFormat="1" ht="18" customHeight="1" thickTop="1" thickBot="1" x14ac:dyDescent="0.2">
      <c r="A8" s="22"/>
      <c r="B8" s="162"/>
      <c r="C8" s="163"/>
      <c r="D8" s="163"/>
      <c r="E8" s="163"/>
      <c r="F8" s="163"/>
      <c r="G8" s="163"/>
      <c r="H8" s="163"/>
      <c r="I8" s="164"/>
      <c r="J8" s="163"/>
      <c r="K8" s="163"/>
      <c r="L8" s="163"/>
      <c r="M8" s="163"/>
      <c r="N8" s="163"/>
      <c r="O8" s="163"/>
      <c r="P8" s="163"/>
      <c r="Q8" s="164"/>
      <c r="R8" s="163"/>
      <c r="S8" s="163"/>
      <c r="T8" s="163"/>
      <c r="U8" s="163"/>
      <c r="V8" s="163"/>
      <c r="W8" s="165"/>
      <c r="X8" s="163"/>
      <c r="Y8" s="164"/>
      <c r="Z8" s="163"/>
      <c r="AA8" s="163"/>
      <c r="AB8" s="163"/>
      <c r="AC8" s="163"/>
      <c r="AD8" s="163"/>
      <c r="AE8" s="163"/>
      <c r="AF8" s="163"/>
      <c r="AG8" s="164"/>
      <c r="AH8" s="163"/>
      <c r="AI8" s="163"/>
      <c r="AJ8" s="163"/>
      <c r="AK8" s="163"/>
      <c r="AL8" s="163"/>
      <c r="AM8" s="163"/>
      <c r="AN8" s="163"/>
      <c r="AO8" s="164"/>
      <c r="AP8" s="164"/>
      <c r="AQ8" s="164"/>
      <c r="AR8" s="166"/>
      <c r="AT8" s="241"/>
      <c r="AU8" s="242"/>
      <c r="AV8" s="242"/>
      <c r="AW8" s="242"/>
      <c r="AX8" s="242"/>
      <c r="AY8" s="243"/>
      <c r="AZ8" s="244"/>
      <c r="BA8" s="244"/>
      <c r="BB8" s="245"/>
      <c r="BC8" s="24"/>
    </row>
    <row r="9" spans="1:55" s="25" customFormat="1" ht="18" customHeight="1" thickTop="1" thickBot="1" x14ac:dyDescent="0.2">
      <c r="A9" s="22"/>
      <c r="B9" s="167" t="s">
        <v>132</v>
      </c>
      <c r="C9"/>
      <c r="D9" s="168"/>
      <c r="E9" s="168"/>
      <c r="F9" s="168"/>
      <c r="G9" s="168"/>
      <c r="H9" s="168"/>
      <c r="I9" s="169"/>
      <c r="J9" s="170"/>
      <c r="K9" s="170"/>
      <c r="L9" s="170"/>
      <c r="M9" s="170"/>
      <c r="N9" s="170"/>
      <c r="O9" s="171"/>
      <c r="P9" s="172"/>
      <c r="Q9" s="172"/>
      <c r="R9" s="172"/>
      <c r="S9" s="172"/>
      <c r="T9" s="172"/>
      <c r="U9" s="172"/>
      <c r="V9" s="172"/>
      <c r="W9" s="173"/>
      <c r="X9" s="174" t="s">
        <v>133</v>
      </c>
      <c r="Y9" s="172"/>
      <c r="Z9" s="170"/>
      <c r="AA9" s="170"/>
      <c r="AB9" s="170"/>
      <c r="AC9" s="170"/>
      <c r="AD9" s="170"/>
      <c r="AE9" s="170"/>
      <c r="AF9" s="170"/>
      <c r="AG9" s="169"/>
      <c r="AH9" s="170"/>
      <c r="AI9" s="170"/>
      <c r="AJ9" s="170"/>
      <c r="AK9" s="170"/>
      <c r="AL9" s="170"/>
      <c r="AM9" s="170"/>
      <c r="AN9" s="170"/>
      <c r="AO9" s="169"/>
      <c r="AP9" s="170"/>
      <c r="AQ9" s="170"/>
      <c r="AR9" s="175"/>
      <c r="AX9" s="26"/>
      <c r="AY9" s="26"/>
      <c r="AZ9" s="20"/>
      <c r="BA9" s="20"/>
      <c r="BB9" s="20"/>
      <c r="BC9" s="24"/>
    </row>
    <row r="10" spans="1:55" s="23" customFormat="1" ht="18" customHeight="1" thickTop="1" thickBot="1" x14ac:dyDescent="0.2">
      <c r="A10" s="22"/>
      <c r="B10" s="27"/>
      <c r="C10" s="333" t="s">
        <v>134</v>
      </c>
      <c r="D10" s="333"/>
      <c r="E10" s="333"/>
      <c r="F10" s="333"/>
      <c r="G10" s="333"/>
      <c r="H10" s="333"/>
      <c r="I10" s="333"/>
      <c r="J10" s="333"/>
      <c r="K10" s="333"/>
      <c r="L10" s="333"/>
      <c r="M10" s="333"/>
      <c r="N10" s="333"/>
      <c r="O10" s="333"/>
      <c r="P10" s="333"/>
      <c r="Q10" s="333"/>
      <c r="R10" s="333"/>
      <c r="S10" s="333"/>
      <c r="T10" s="333"/>
      <c r="U10" s="333"/>
      <c r="W10" s="176"/>
      <c r="AR10" s="28"/>
      <c r="AT10" s="246" t="s">
        <v>9</v>
      </c>
      <c r="AU10" s="247"/>
      <c r="AV10" s="247"/>
      <c r="AW10" s="248" t="s">
        <v>135</v>
      </c>
      <c r="AX10" s="249"/>
      <c r="AY10" s="249"/>
      <c r="AZ10" s="249"/>
      <c r="BA10" s="249"/>
      <c r="BB10" s="250"/>
      <c r="BC10" s="24"/>
    </row>
    <row r="11" spans="1:55" s="31" customFormat="1" ht="18" customHeight="1" thickTop="1" thickBot="1" x14ac:dyDescent="0.25">
      <c r="A11" s="22"/>
      <c r="B11" s="177"/>
      <c r="C11" s="333"/>
      <c r="D11" s="333"/>
      <c r="E11" s="333"/>
      <c r="F11" s="333"/>
      <c r="G11" s="333"/>
      <c r="H11" s="333"/>
      <c r="I11" s="333"/>
      <c r="J11" s="333"/>
      <c r="K11" s="333"/>
      <c r="L11" s="333"/>
      <c r="M11" s="333"/>
      <c r="N11" s="333"/>
      <c r="O11" s="333"/>
      <c r="P11" s="333"/>
      <c r="Q11" s="333"/>
      <c r="R11" s="333"/>
      <c r="S11" s="333"/>
      <c r="T11" s="333"/>
      <c r="U11" s="333"/>
      <c r="V11" s="29"/>
      <c r="W11" s="178"/>
      <c r="X11" s="30"/>
      <c r="Y11" s="161"/>
      <c r="Z11" s="179"/>
      <c r="AA11" s="29"/>
      <c r="AB11" s="29"/>
      <c r="AC11" s="29"/>
      <c r="AD11" s="29"/>
      <c r="AE11" s="29"/>
      <c r="AF11" s="29"/>
      <c r="AG11" s="29"/>
      <c r="AH11" s="29"/>
      <c r="AI11" s="29"/>
      <c r="AJ11" s="30"/>
      <c r="AK11" s="161"/>
      <c r="AL11" s="30"/>
      <c r="AM11" s="30"/>
      <c r="AN11" s="30"/>
      <c r="AO11" s="30"/>
      <c r="AP11" s="30"/>
      <c r="AQ11" s="30"/>
      <c r="AR11" s="180"/>
      <c r="AS11" s="29"/>
      <c r="AT11" s="29"/>
      <c r="AU11" s="29"/>
      <c r="AV11" s="29"/>
      <c r="AW11" s="29"/>
      <c r="AX11" s="29"/>
      <c r="BC11" s="24"/>
    </row>
    <row r="12" spans="1:55" s="31" customFormat="1" ht="18" customHeight="1" thickTop="1" x14ac:dyDescent="0.2">
      <c r="A12" s="22"/>
      <c r="B12" s="32"/>
      <c r="C12" s="333"/>
      <c r="D12" s="333"/>
      <c r="E12" s="333"/>
      <c r="F12" s="333"/>
      <c r="G12" s="333"/>
      <c r="H12" s="333"/>
      <c r="I12" s="333"/>
      <c r="J12" s="333"/>
      <c r="K12" s="333"/>
      <c r="L12" s="333"/>
      <c r="M12" s="333"/>
      <c r="N12" s="333"/>
      <c r="O12" s="333"/>
      <c r="P12" s="333"/>
      <c r="Q12" s="333"/>
      <c r="R12" s="333"/>
      <c r="S12" s="333"/>
      <c r="T12" s="333"/>
      <c r="U12" s="333"/>
      <c r="W12" s="181"/>
      <c r="AR12" s="182"/>
      <c r="AS12" s="20"/>
      <c r="AT12" s="334" t="s">
        <v>136</v>
      </c>
      <c r="AU12" s="335"/>
      <c r="AV12" s="335"/>
      <c r="AW12" s="335"/>
      <c r="AX12" s="335"/>
      <c r="AY12" s="335"/>
      <c r="AZ12" s="335"/>
      <c r="BA12" s="335"/>
      <c r="BB12" s="336"/>
      <c r="BC12" s="24"/>
    </row>
    <row r="13" spans="1:55" s="31" customFormat="1" ht="18" customHeight="1" x14ac:dyDescent="0.2">
      <c r="A13" s="22"/>
      <c r="B13" s="32"/>
      <c r="C13" s="333"/>
      <c r="D13" s="333"/>
      <c r="E13" s="333"/>
      <c r="F13" s="333"/>
      <c r="G13" s="333"/>
      <c r="H13" s="333"/>
      <c r="I13" s="333"/>
      <c r="J13" s="333"/>
      <c r="K13" s="333"/>
      <c r="L13" s="333"/>
      <c r="M13" s="333"/>
      <c r="N13" s="333"/>
      <c r="O13" s="333"/>
      <c r="P13" s="333"/>
      <c r="Q13" s="333"/>
      <c r="R13" s="333"/>
      <c r="S13" s="333"/>
      <c r="T13" s="333"/>
      <c r="U13" s="333"/>
      <c r="W13" s="181"/>
      <c r="AR13" s="182"/>
      <c r="AS13" s="33"/>
      <c r="AT13" s="337"/>
      <c r="AU13" s="338"/>
      <c r="AV13" s="338"/>
      <c r="AW13" s="338"/>
      <c r="AX13" s="338"/>
      <c r="AY13" s="338"/>
      <c r="AZ13" s="338"/>
      <c r="BA13" s="338"/>
      <c r="BB13" s="339"/>
      <c r="BC13" s="24"/>
    </row>
    <row r="14" spans="1:55" s="31" customFormat="1" ht="18" customHeight="1" x14ac:dyDescent="0.2">
      <c r="A14" s="22"/>
      <c r="B14" s="183"/>
      <c r="C14" s="333"/>
      <c r="D14" s="333"/>
      <c r="E14" s="333"/>
      <c r="F14" s="333"/>
      <c r="G14" s="333"/>
      <c r="H14" s="333"/>
      <c r="I14" s="333"/>
      <c r="J14" s="333"/>
      <c r="K14" s="333"/>
      <c r="L14" s="333"/>
      <c r="M14" s="333"/>
      <c r="N14" s="333"/>
      <c r="O14" s="333"/>
      <c r="P14" s="333"/>
      <c r="Q14" s="333"/>
      <c r="R14" s="333"/>
      <c r="S14" s="333"/>
      <c r="T14" s="333"/>
      <c r="U14" s="333"/>
      <c r="V14" s="170"/>
      <c r="W14" s="184"/>
      <c r="X14" s="170"/>
      <c r="Y14" s="170"/>
      <c r="Z14" s="170"/>
      <c r="AA14" s="170"/>
      <c r="AB14" s="170"/>
      <c r="AC14" s="170"/>
      <c r="AD14" s="170"/>
      <c r="AE14" s="170"/>
      <c r="AF14" s="170"/>
      <c r="AG14" s="170"/>
      <c r="AH14" s="170"/>
      <c r="AI14" s="170"/>
      <c r="AJ14" s="170"/>
      <c r="AK14" s="170"/>
      <c r="AL14" s="170"/>
      <c r="AM14" s="170"/>
      <c r="AN14" s="170"/>
      <c r="AO14" s="170"/>
      <c r="AP14" s="170"/>
      <c r="AQ14" s="170"/>
      <c r="AR14" s="175"/>
      <c r="AS14" s="34"/>
      <c r="AT14" s="274" t="s">
        <v>137</v>
      </c>
      <c r="AU14" s="340"/>
      <c r="AV14" s="340"/>
      <c r="AW14" s="340"/>
      <c r="AX14" s="340"/>
      <c r="AY14" s="340"/>
      <c r="AZ14" s="340"/>
      <c r="BA14" s="340"/>
      <c r="BB14" s="341"/>
      <c r="BC14" s="24"/>
    </row>
    <row r="15" spans="1:55" s="31" customFormat="1" ht="18" customHeight="1" x14ac:dyDescent="0.2">
      <c r="A15" s="22"/>
      <c r="B15" s="183"/>
      <c r="C15" s="333"/>
      <c r="D15" s="333"/>
      <c r="E15" s="333"/>
      <c r="F15" s="333"/>
      <c r="G15" s="333"/>
      <c r="H15" s="333"/>
      <c r="I15" s="333"/>
      <c r="J15" s="333"/>
      <c r="K15" s="333"/>
      <c r="L15" s="333"/>
      <c r="M15" s="333"/>
      <c r="N15" s="333"/>
      <c r="O15" s="333"/>
      <c r="P15" s="333"/>
      <c r="Q15" s="333"/>
      <c r="R15" s="333"/>
      <c r="S15" s="333"/>
      <c r="T15" s="333"/>
      <c r="U15" s="333"/>
      <c r="V15" s="170"/>
      <c r="W15" s="184"/>
      <c r="X15" s="170"/>
      <c r="Y15" s="170"/>
      <c r="Z15" s="170"/>
      <c r="AA15" s="170"/>
      <c r="AB15" s="170"/>
      <c r="AC15" s="170"/>
      <c r="AD15" s="170"/>
      <c r="AE15" s="170"/>
      <c r="AF15" s="170"/>
      <c r="AG15" s="170"/>
      <c r="AH15" s="170"/>
      <c r="AI15" s="170"/>
      <c r="AJ15" s="170"/>
      <c r="AK15" s="170"/>
      <c r="AL15" s="170"/>
      <c r="AM15" s="170"/>
      <c r="AN15" s="170"/>
      <c r="AO15" s="170"/>
      <c r="AP15" s="170"/>
      <c r="AQ15" s="170"/>
      <c r="AR15" s="175"/>
      <c r="AS15" s="34"/>
      <c r="AT15" s="342"/>
      <c r="AU15" s="340"/>
      <c r="AV15" s="340"/>
      <c r="AW15" s="340"/>
      <c r="AX15" s="340"/>
      <c r="AY15" s="340"/>
      <c r="AZ15" s="340"/>
      <c r="BA15" s="340"/>
      <c r="BB15" s="341"/>
      <c r="BC15" s="24"/>
    </row>
    <row r="16" spans="1:55" s="31" customFormat="1" ht="18" customHeight="1" x14ac:dyDescent="0.2">
      <c r="A16" s="22"/>
      <c r="B16" s="183"/>
      <c r="C16" s="333"/>
      <c r="D16" s="333"/>
      <c r="E16" s="333"/>
      <c r="F16" s="333"/>
      <c r="G16" s="333"/>
      <c r="H16" s="333"/>
      <c r="I16" s="333"/>
      <c r="J16" s="333"/>
      <c r="K16" s="333"/>
      <c r="L16" s="333"/>
      <c r="M16" s="333"/>
      <c r="N16" s="333"/>
      <c r="O16" s="333"/>
      <c r="P16" s="333"/>
      <c r="Q16" s="333"/>
      <c r="R16" s="333"/>
      <c r="S16" s="333"/>
      <c r="T16" s="333"/>
      <c r="U16" s="333"/>
      <c r="V16" s="172"/>
      <c r="W16" s="173"/>
      <c r="X16" s="172"/>
      <c r="Y16" s="172"/>
      <c r="Z16" s="172"/>
      <c r="AA16" s="172"/>
      <c r="AB16" s="172"/>
      <c r="AC16" s="172"/>
      <c r="AD16" s="172"/>
      <c r="AE16" s="172"/>
      <c r="AF16" s="172"/>
      <c r="AG16" s="172"/>
      <c r="AH16" s="170"/>
      <c r="AI16" s="170"/>
      <c r="AJ16" s="170"/>
      <c r="AK16" s="170"/>
      <c r="AL16" s="170"/>
      <c r="AM16" s="170"/>
      <c r="AN16" s="170"/>
      <c r="AO16" s="169"/>
      <c r="AP16" s="170"/>
      <c r="AQ16" s="170"/>
      <c r="AR16" s="175"/>
      <c r="AS16" s="34"/>
      <c r="AT16" s="342"/>
      <c r="AU16" s="340"/>
      <c r="AV16" s="340"/>
      <c r="AW16" s="340"/>
      <c r="AX16" s="340"/>
      <c r="AY16" s="340"/>
      <c r="AZ16" s="340"/>
      <c r="BA16" s="340"/>
      <c r="BB16" s="341"/>
      <c r="BC16" s="24"/>
    </row>
    <row r="17" spans="1:55" s="31" customFormat="1" ht="18" customHeight="1" x14ac:dyDescent="0.2">
      <c r="A17" s="22"/>
      <c r="B17" s="183"/>
      <c r="C17" s="333"/>
      <c r="D17" s="333"/>
      <c r="E17" s="333"/>
      <c r="F17" s="333"/>
      <c r="G17" s="333"/>
      <c r="H17" s="333"/>
      <c r="I17" s="333"/>
      <c r="J17" s="333"/>
      <c r="K17" s="333"/>
      <c r="L17" s="333"/>
      <c r="M17" s="333"/>
      <c r="N17" s="333"/>
      <c r="O17" s="333"/>
      <c r="P17" s="333"/>
      <c r="Q17" s="333"/>
      <c r="R17" s="333"/>
      <c r="S17" s="333"/>
      <c r="T17" s="333"/>
      <c r="U17" s="333"/>
      <c r="V17" s="25"/>
      <c r="W17" s="185"/>
      <c r="X17" s="25"/>
      <c r="Y17" s="25"/>
      <c r="Z17" s="25"/>
      <c r="AA17" s="25"/>
      <c r="AB17" s="25"/>
      <c r="AC17" s="25"/>
      <c r="AD17" s="25"/>
      <c r="AE17" s="25"/>
      <c r="AF17" s="25"/>
      <c r="AG17" s="25"/>
      <c r="AH17" s="170"/>
      <c r="AI17" s="170"/>
      <c r="AJ17" s="170"/>
      <c r="AK17" s="170"/>
      <c r="AL17" s="170"/>
      <c r="AM17" s="170"/>
      <c r="AN17" s="170"/>
      <c r="AO17" s="170"/>
      <c r="AP17" s="170"/>
      <c r="AQ17" s="170"/>
      <c r="AR17" s="175"/>
      <c r="AS17" s="34"/>
      <c r="AT17" s="342"/>
      <c r="AU17" s="340"/>
      <c r="AV17" s="340"/>
      <c r="AW17" s="340"/>
      <c r="AX17" s="340"/>
      <c r="AY17" s="340"/>
      <c r="AZ17" s="340"/>
      <c r="BA17" s="340"/>
      <c r="BB17" s="341"/>
      <c r="BC17" s="24"/>
    </row>
    <row r="18" spans="1:55" s="31" customFormat="1" ht="18" customHeight="1" x14ac:dyDescent="0.2">
      <c r="A18" s="22"/>
      <c r="B18" s="183"/>
      <c r="C18" s="333"/>
      <c r="D18" s="333"/>
      <c r="E18" s="333"/>
      <c r="F18" s="333"/>
      <c r="G18" s="333"/>
      <c r="H18" s="333"/>
      <c r="I18" s="333"/>
      <c r="J18" s="333"/>
      <c r="K18" s="333"/>
      <c r="L18" s="333"/>
      <c r="M18" s="333"/>
      <c r="N18" s="333"/>
      <c r="O18" s="333"/>
      <c r="P18" s="333"/>
      <c r="Q18" s="333"/>
      <c r="R18" s="333"/>
      <c r="S18" s="333"/>
      <c r="T18" s="333"/>
      <c r="U18" s="333"/>
      <c r="V18" s="172"/>
      <c r="W18" s="173"/>
      <c r="X18" s="172"/>
      <c r="Y18" s="172"/>
      <c r="Z18" s="172"/>
      <c r="AA18" s="172"/>
      <c r="AB18" s="172"/>
      <c r="AC18" s="172"/>
      <c r="AD18" s="172"/>
      <c r="AE18" s="172"/>
      <c r="AF18" s="172"/>
      <c r="AG18" s="172"/>
      <c r="AH18" s="170"/>
      <c r="AI18" s="170"/>
      <c r="AJ18" s="170"/>
      <c r="AK18" s="170"/>
      <c r="AL18" s="170"/>
      <c r="AM18" s="170"/>
      <c r="AN18" s="170"/>
      <c r="AO18" s="170"/>
      <c r="AP18" s="170"/>
      <c r="AQ18" s="170"/>
      <c r="AR18" s="175"/>
      <c r="AS18" s="34"/>
      <c r="AT18" s="342"/>
      <c r="AU18" s="340"/>
      <c r="AV18" s="340"/>
      <c r="AW18" s="340"/>
      <c r="AX18" s="340"/>
      <c r="AY18" s="340"/>
      <c r="AZ18" s="340"/>
      <c r="BA18" s="340"/>
      <c r="BB18" s="341"/>
      <c r="BC18" s="24"/>
    </row>
    <row r="19" spans="1:55" s="31" customFormat="1" ht="18" customHeight="1" x14ac:dyDescent="0.2">
      <c r="A19" s="22"/>
      <c r="B19" s="183"/>
      <c r="C19" s="333"/>
      <c r="D19" s="333"/>
      <c r="E19" s="333"/>
      <c r="F19" s="333"/>
      <c r="G19" s="333"/>
      <c r="H19" s="333"/>
      <c r="I19" s="333"/>
      <c r="J19" s="333"/>
      <c r="K19" s="333"/>
      <c r="L19" s="333"/>
      <c r="M19" s="333"/>
      <c r="N19" s="333"/>
      <c r="O19" s="333"/>
      <c r="P19" s="333"/>
      <c r="Q19" s="333"/>
      <c r="R19" s="333"/>
      <c r="S19" s="333"/>
      <c r="T19" s="333"/>
      <c r="U19" s="333"/>
      <c r="V19" s="170"/>
      <c r="W19" s="184"/>
      <c r="X19" s="170"/>
      <c r="Y19" s="169"/>
      <c r="Z19" s="170"/>
      <c r="AA19" s="170"/>
      <c r="AB19" s="170"/>
      <c r="AC19" s="170"/>
      <c r="AD19" s="170"/>
      <c r="AE19" s="170"/>
      <c r="AF19" s="170"/>
      <c r="AG19" s="169"/>
      <c r="AH19" s="170"/>
      <c r="AI19" s="170"/>
      <c r="AJ19" s="170"/>
      <c r="AK19" s="170"/>
      <c r="AL19" s="170"/>
      <c r="AM19" s="170"/>
      <c r="AN19" s="170"/>
      <c r="AO19" s="169"/>
      <c r="AP19" s="170"/>
      <c r="AQ19" s="170"/>
      <c r="AR19" s="175"/>
      <c r="AS19" s="34"/>
      <c r="AT19" s="342"/>
      <c r="AU19" s="340"/>
      <c r="AV19" s="340"/>
      <c r="AW19" s="340"/>
      <c r="AX19" s="340"/>
      <c r="AY19" s="340"/>
      <c r="AZ19" s="340"/>
      <c r="BA19" s="340"/>
      <c r="BB19" s="341"/>
      <c r="BC19" s="24"/>
    </row>
    <row r="20" spans="1:55" s="35" customFormat="1" ht="18" customHeight="1" x14ac:dyDescent="0.2">
      <c r="A20" s="22"/>
      <c r="B20" s="174" t="s">
        <v>138</v>
      </c>
      <c r="C20" s="186"/>
      <c r="D20" s="186"/>
      <c r="E20" s="187"/>
      <c r="F20" s="187"/>
      <c r="G20" s="187"/>
      <c r="H20" s="187"/>
      <c r="I20" s="170"/>
      <c r="J20" s="170"/>
      <c r="K20" s="170"/>
      <c r="L20" s="170"/>
      <c r="M20" s="170"/>
      <c r="N20" s="170"/>
      <c r="O20" s="170"/>
      <c r="P20" s="170"/>
      <c r="Q20" s="170"/>
      <c r="R20" s="170"/>
      <c r="S20" s="170"/>
      <c r="T20" s="170"/>
      <c r="U20" s="170"/>
      <c r="V20" s="170"/>
      <c r="W20" s="184"/>
      <c r="X20" s="170"/>
      <c r="Y20" s="170"/>
      <c r="Z20" s="170"/>
      <c r="AA20" s="170"/>
      <c r="AB20" s="170"/>
      <c r="AC20" s="170"/>
      <c r="AD20" s="170"/>
      <c r="AE20" s="170"/>
      <c r="AF20" s="170"/>
      <c r="AG20" s="169"/>
      <c r="AH20" s="170"/>
      <c r="AI20" s="170"/>
      <c r="AJ20" s="170"/>
      <c r="AK20" s="170"/>
      <c r="AL20" s="170"/>
      <c r="AM20" s="170"/>
      <c r="AN20" s="170"/>
      <c r="AO20" s="170"/>
      <c r="AP20" s="170"/>
      <c r="AQ20" s="170"/>
      <c r="AR20" s="175"/>
      <c r="AS20" s="34"/>
      <c r="AT20" s="342"/>
      <c r="AU20" s="340"/>
      <c r="AV20" s="340"/>
      <c r="AW20" s="340"/>
      <c r="AX20" s="340"/>
      <c r="AY20" s="340"/>
      <c r="AZ20" s="340"/>
      <c r="BA20" s="340"/>
      <c r="BB20" s="341"/>
      <c r="BC20" s="24"/>
    </row>
    <row r="21" spans="1:55" s="35" customFormat="1" ht="18" customHeight="1" x14ac:dyDescent="0.2">
      <c r="A21" s="22"/>
      <c r="B21" s="183"/>
      <c r="C21" s="343" t="s">
        <v>139</v>
      </c>
      <c r="D21" s="344"/>
      <c r="E21" s="344"/>
      <c r="F21" s="344"/>
      <c r="G21" s="344"/>
      <c r="H21" s="344"/>
      <c r="I21" s="344"/>
      <c r="J21" s="344"/>
      <c r="K21" s="344"/>
      <c r="L21" s="344"/>
      <c r="M21" s="344"/>
      <c r="N21" s="344"/>
      <c r="O21" s="344"/>
      <c r="P21" s="344"/>
      <c r="Q21" s="344"/>
      <c r="R21" s="344"/>
      <c r="S21" s="344"/>
      <c r="T21" s="344"/>
      <c r="U21" s="344"/>
      <c r="V21" s="170"/>
      <c r="W21" s="184"/>
      <c r="X21" s="170"/>
      <c r="Y21" s="170"/>
      <c r="Z21" s="170"/>
      <c r="AA21" s="170"/>
      <c r="AB21" s="170"/>
      <c r="AC21" s="170"/>
      <c r="AD21" s="170"/>
      <c r="AE21" s="170"/>
      <c r="AF21" s="170"/>
      <c r="AG21" s="170"/>
      <c r="AH21" s="170"/>
      <c r="AI21" s="170"/>
      <c r="AJ21" s="170"/>
      <c r="AK21" s="170"/>
      <c r="AL21" s="170"/>
      <c r="AM21" s="170"/>
      <c r="AN21" s="170"/>
      <c r="AO21" s="170"/>
      <c r="AP21" s="170"/>
      <c r="AQ21" s="170"/>
      <c r="AR21" s="175"/>
      <c r="AS21" s="34"/>
      <c r="AT21" s="342"/>
      <c r="AU21" s="340"/>
      <c r="AV21" s="340"/>
      <c r="AW21" s="340"/>
      <c r="AX21" s="340"/>
      <c r="AY21" s="340"/>
      <c r="AZ21" s="340"/>
      <c r="BA21" s="340"/>
      <c r="BB21" s="341"/>
      <c r="BC21" s="24"/>
    </row>
    <row r="22" spans="1:55" s="35" customFormat="1" ht="18" customHeight="1" x14ac:dyDescent="0.2">
      <c r="A22" s="22"/>
      <c r="B22" s="188"/>
      <c r="C22" s="344"/>
      <c r="D22" s="344"/>
      <c r="E22" s="344"/>
      <c r="F22" s="344"/>
      <c r="G22" s="344"/>
      <c r="H22" s="344"/>
      <c r="I22" s="344"/>
      <c r="J22" s="344"/>
      <c r="K22" s="344"/>
      <c r="L22" s="344"/>
      <c r="M22" s="344"/>
      <c r="N22" s="344"/>
      <c r="O22" s="344"/>
      <c r="P22" s="344"/>
      <c r="Q22" s="344"/>
      <c r="R22" s="344"/>
      <c r="S22" s="344"/>
      <c r="T22" s="344"/>
      <c r="U22" s="344"/>
      <c r="V22" s="170"/>
      <c r="W22" s="184"/>
      <c r="X22" s="170"/>
      <c r="Y22" s="169"/>
      <c r="Z22" s="169"/>
      <c r="AA22" s="169"/>
      <c r="AB22" s="169"/>
      <c r="AC22" s="169"/>
      <c r="AD22" s="169"/>
      <c r="AE22" s="169"/>
      <c r="AF22" s="169"/>
      <c r="AG22" s="169"/>
      <c r="AH22" s="170"/>
      <c r="AI22" s="170"/>
      <c r="AJ22" s="170"/>
      <c r="AK22" s="170"/>
      <c r="AL22" s="170"/>
      <c r="AM22" s="170"/>
      <c r="AN22" s="170"/>
      <c r="AO22" s="169"/>
      <c r="AP22" s="170"/>
      <c r="AQ22" s="170"/>
      <c r="AR22" s="175"/>
      <c r="AS22" s="34"/>
      <c r="AT22" s="342"/>
      <c r="AU22" s="340"/>
      <c r="AV22" s="340"/>
      <c r="AW22" s="340"/>
      <c r="AX22" s="340"/>
      <c r="AY22" s="340"/>
      <c r="AZ22" s="340"/>
      <c r="BA22" s="340"/>
      <c r="BB22" s="341"/>
      <c r="BC22" s="24"/>
    </row>
    <row r="23" spans="1:55" s="35" customFormat="1" ht="18" customHeight="1" x14ac:dyDescent="0.2">
      <c r="A23" s="22"/>
      <c r="B23" s="183"/>
      <c r="C23" s="344"/>
      <c r="D23" s="344"/>
      <c r="E23" s="344"/>
      <c r="F23" s="344"/>
      <c r="G23" s="344"/>
      <c r="H23" s="344"/>
      <c r="I23" s="344"/>
      <c r="J23" s="344"/>
      <c r="K23" s="344"/>
      <c r="L23" s="344"/>
      <c r="M23" s="344"/>
      <c r="N23" s="344"/>
      <c r="O23" s="344"/>
      <c r="P23" s="344"/>
      <c r="Q23" s="344"/>
      <c r="R23" s="344"/>
      <c r="S23" s="344"/>
      <c r="T23" s="344"/>
      <c r="U23" s="344"/>
      <c r="V23" s="170"/>
      <c r="W23" s="184"/>
      <c r="X23" s="170"/>
      <c r="Y23" s="169"/>
      <c r="Z23" s="169"/>
      <c r="AA23" s="169"/>
      <c r="AB23" s="169"/>
      <c r="AC23" s="169"/>
      <c r="AD23" s="169"/>
      <c r="AE23" s="169"/>
      <c r="AF23" s="169"/>
      <c r="AG23" s="169"/>
      <c r="AH23" s="170"/>
      <c r="AI23" s="170"/>
      <c r="AJ23" s="170"/>
      <c r="AK23" s="170"/>
      <c r="AL23" s="170"/>
      <c r="AM23" s="170"/>
      <c r="AN23" s="170"/>
      <c r="AO23" s="170"/>
      <c r="AP23" s="170"/>
      <c r="AQ23" s="170"/>
      <c r="AR23" s="175"/>
      <c r="AS23" s="34"/>
      <c r="AT23" s="342"/>
      <c r="AU23" s="340"/>
      <c r="AV23" s="340"/>
      <c r="AW23" s="340"/>
      <c r="AX23" s="340"/>
      <c r="AY23" s="340"/>
      <c r="AZ23" s="340"/>
      <c r="BA23" s="340"/>
      <c r="BB23" s="341"/>
      <c r="BC23" s="24"/>
    </row>
    <row r="24" spans="1:55" s="35" customFormat="1" ht="18" customHeight="1" x14ac:dyDescent="0.2">
      <c r="A24" s="22"/>
      <c r="B24" s="183"/>
      <c r="C24" s="344"/>
      <c r="D24" s="344"/>
      <c r="E24" s="344"/>
      <c r="F24" s="344"/>
      <c r="G24" s="344"/>
      <c r="H24" s="344"/>
      <c r="I24" s="344"/>
      <c r="J24" s="344"/>
      <c r="K24" s="344"/>
      <c r="L24" s="344"/>
      <c r="M24" s="344"/>
      <c r="N24" s="344"/>
      <c r="O24" s="344"/>
      <c r="P24" s="344"/>
      <c r="Q24" s="344"/>
      <c r="R24" s="344"/>
      <c r="S24" s="344"/>
      <c r="T24" s="344"/>
      <c r="U24" s="344"/>
      <c r="V24" s="170"/>
      <c r="W24" s="184"/>
      <c r="X24" s="170"/>
      <c r="Y24" s="169"/>
      <c r="Z24" s="169"/>
      <c r="AA24" s="169"/>
      <c r="AB24" s="169"/>
      <c r="AC24" s="169"/>
      <c r="AD24" s="169"/>
      <c r="AE24" s="169"/>
      <c r="AF24" s="169"/>
      <c r="AG24" s="170"/>
      <c r="AH24" s="170"/>
      <c r="AI24" s="170"/>
      <c r="AJ24" s="170"/>
      <c r="AK24" s="170"/>
      <c r="AL24" s="170"/>
      <c r="AM24" s="170"/>
      <c r="AN24" s="170"/>
      <c r="AO24" s="170"/>
      <c r="AP24" s="170"/>
      <c r="AQ24" s="170"/>
      <c r="AR24" s="175"/>
      <c r="AS24" s="34"/>
      <c r="AT24" s="342"/>
      <c r="AU24" s="340"/>
      <c r="AV24" s="340"/>
      <c r="AW24" s="340"/>
      <c r="AX24" s="340"/>
      <c r="AY24" s="340"/>
      <c r="AZ24" s="340"/>
      <c r="BA24" s="340"/>
      <c r="BB24" s="341"/>
      <c r="BC24" s="24"/>
    </row>
    <row r="25" spans="1:55" s="35" customFormat="1" ht="18" customHeight="1" x14ac:dyDescent="0.2">
      <c r="A25" s="22"/>
      <c r="B25" s="188"/>
      <c r="C25" s="344"/>
      <c r="D25" s="344"/>
      <c r="E25" s="344"/>
      <c r="F25" s="344"/>
      <c r="G25" s="344"/>
      <c r="H25" s="344"/>
      <c r="I25" s="344"/>
      <c r="J25" s="344"/>
      <c r="K25" s="344"/>
      <c r="L25" s="344"/>
      <c r="M25" s="344"/>
      <c r="N25" s="344"/>
      <c r="O25" s="344"/>
      <c r="P25" s="344"/>
      <c r="Q25" s="344"/>
      <c r="R25" s="344"/>
      <c r="S25" s="344"/>
      <c r="T25" s="344"/>
      <c r="U25" s="344"/>
      <c r="V25" s="170"/>
      <c r="W25" s="184"/>
      <c r="X25" s="170"/>
      <c r="Y25" s="169"/>
      <c r="Z25" s="170"/>
      <c r="AA25" s="170"/>
      <c r="AB25" s="170"/>
      <c r="AC25" s="170"/>
      <c r="AD25" s="170"/>
      <c r="AE25" s="170"/>
      <c r="AF25" s="170"/>
      <c r="AG25" s="169"/>
      <c r="AH25" s="170"/>
      <c r="AI25" s="170"/>
      <c r="AJ25" s="170"/>
      <c r="AK25" s="170"/>
      <c r="AL25" s="170"/>
      <c r="AM25" s="170"/>
      <c r="AN25" s="170"/>
      <c r="AO25" s="169"/>
      <c r="AP25" s="170"/>
      <c r="AQ25" s="170"/>
      <c r="AR25" s="175"/>
      <c r="AS25" s="34"/>
      <c r="AT25" s="342"/>
      <c r="AU25" s="340"/>
      <c r="AV25" s="340"/>
      <c r="AW25" s="340"/>
      <c r="AX25" s="340"/>
      <c r="AY25" s="340"/>
      <c r="AZ25" s="340"/>
      <c r="BA25" s="340"/>
      <c r="BB25" s="341"/>
      <c r="BC25" s="24"/>
    </row>
    <row r="26" spans="1:55" s="35" customFormat="1" ht="18" customHeight="1" x14ac:dyDescent="0.2">
      <c r="A26" s="22"/>
      <c r="B26" s="183"/>
      <c r="C26" s="344"/>
      <c r="D26" s="344"/>
      <c r="E26" s="344"/>
      <c r="F26" s="344"/>
      <c r="G26" s="344"/>
      <c r="H26" s="344"/>
      <c r="I26" s="344"/>
      <c r="J26" s="344"/>
      <c r="K26" s="344"/>
      <c r="L26" s="344"/>
      <c r="M26" s="344"/>
      <c r="N26" s="344"/>
      <c r="O26" s="344"/>
      <c r="P26" s="344"/>
      <c r="Q26" s="344"/>
      <c r="R26" s="344"/>
      <c r="S26" s="344"/>
      <c r="T26" s="344"/>
      <c r="U26" s="344"/>
      <c r="V26" s="170"/>
      <c r="W26" s="184"/>
      <c r="X26" s="170"/>
      <c r="Y26" s="170"/>
      <c r="Z26" s="170"/>
      <c r="AA26" s="170"/>
      <c r="AB26" s="170"/>
      <c r="AC26" s="170"/>
      <c r="AD26" s="170"/>
      <c r="AE26" s="170"/>
      <c r="AF26" s="170"/>
      <c r="AG26" s="169"/>
      <c r="AH26" s="170"/>
      <c r="AI26" s="170"/>
      <c r="AJ26" s="170"/>
      <c r="AK26" s="170"/>
      <c r="AL26" s="170"/>
      <c r="AM26" s="170"/>
      <c r="AN26" s="170"/>
      <c r="AO26" s="170"/>
      <c r="AP26" s="170"/>
      <c r="AQ26" s="170"/>
      <c r="AR26" s="175"/>
      <c r="AS26" s="34"/>
      <c r="AT26" s="342"/>
      <c r="AU26" s="340"/>
      <c r="AV26" s="340"/>
      <c r="AW26" s="340"/>
      <c r="AX26" s="340"/>
      <c r="AY26" s="340"/>
      <c r="AZ26" s="340"/>
      <c r="BA26" s="340"/>
      <c r="BB26" s="341"/>
      <c r="BC26" s="24"/>
    </row>
    <row r="27" spans="1:55" s="35" customFormat="1" ht="18" customHeight="1" x14ac:dyDescent="0.2">
      <c r="A27" s="22"/>
      <c r="B27" s="174" t="s">
        <v>140</v>
      </c>
      <c r="C27" s="189"/>
      <c r="D27" s="189"/>
      <c r="E27" s="189"/>
      <c r="F27" s="189"/>
      <c r="G27" s="189"/>
      <c r="H27" s="189"/>
      <c r="I27" s="189"/>
      <c r="J27" s="189"/>
      <c r="K27" s="189"/>
      <c r="L27" s="189"/>
      <c r="M27" s="189"/>
      <c r="N27" s="189"/>
      <c r="O27" s="189"/>
      <c r="P27" s="189"/>
      <c r="Q27" s="189"/>
      <c r="R27" s="189"/>
      <c r="S27" s="189"/>
      <c r="T27" s="189"/>
      <c r="U27" s="189"/>
      <c r="V27" s="170"/>
      <c r="W27" s="184"/>
      <c r="X27" s="170"/>
      <c r="Y27" s="170"/>
      <c r="Z27" s="170"/>
      <c r="AA27" s="170"/>
      <c r="AB27" s="170"/>
      <c r="AC27" s="170"/>
      <c r="AD27" s="170"/>
      <c r="AE27" s="170"/>
      <c r="AF27" s="170"/>
      <c r="AG27" s="170"/>
      <c r="AH27" s="170"/>
      <c r="AI27" s="170"/>
      <c r="AJ27" s="170"/>
      <c r="AK27" s="170"/>
      <c r="AL27" s="170"/>
      <c r="AM27" s="170"/>
      <c r="AN27" s="170"/>
      <c r="AO27" s="170"/>
      <c r="AP27" s="170"/>
      <c r="AQ27" s="170"/>
      <c r="AR27" s="175"/>
      <c r="AS27" s="34"/>
      <c r="AT27" s="342"/>
      <c r="AU27" s="340"/>
      <c r="AV27" s="340"/>
      <c r="AW27" s="340"/>
      <c r="AX27" s="340"/>
      <c r="AY27" s="340"/>
      <c r="AZ27" s="340"/>
      <c r="BA27" s="340"/>
      <c r="BB27" s="341"/>
      <c r="BC27" s="24"/>
    </row>
    <row r="28" spans="1:55" s="35" customFormat="1" ht="18" customHeight="1" x14ac:dyDescent="0.2">
      <c r="A28" s="22"/>
      <c r="B28" s="188"/>
      <c r="C28" s="331" t="s">
        <v>141</v>
      </c>
      <c r="D28" s="332"/>
      <c r="E28" s="332"/>
      <c r="F28" s="332"/>
      <c r="G28" s="332"/>
      <c r="H28" s="332"/>
      <c r="I28" s="332"/>
      <c r="J28" s="332"/>
      <c r="K28" s="332"/>
      <c r="L28" s="332"/>
      <c r="M28" s="332"/>
      <c r="N28" s="332"/>
      <c r="O28" s="332"/>
      <c r="P28" s="332"/>
      <c r="Q28" s="332"/>
      <c r="R28" s="332"/>
      <c r="S28" s="332"/>
      <c r="T28" s="332"/>
      <c r="U28" s="332"/>
      <c r="V28" s="170"/>
      <c r="W28" s="184"/>
      <c r="X28" s="170"/>
      <c r="Y28" s="169"/>
      <c r="Z28" s="170"/>
      <c r="AA28" s="170"/>
      <c r="AB28" s="170"/>
      <c r="AC28" s="170"/>
      <c r="AD28" s="170"/>
      <c r="AE28" s="170"/>
      <c r="AF28" s="170"/>
      <c r="AG28" s="169"/>
      <c r="AH28" s="170"/>
      <c r="AI28" s="170"/>
      <c r="AJ28" s="170"/>
      <c r="AK28" s="170"/>
      <c r="AL28" s="170"/>
      <c r="AM28" s="170"/>
      <c r="AN28" s="170"/>
      <c r="AO28" s="169"/>
      <c r="AP28" s="170"/>
      <c r="AQ28" s="170"/>
      <c r="AR28" s="175"/>
      <c r="AS28" s="34"/>
      <c r="AT28" s="342"/>
      <c r="AU28" s="340"/>
      <c r="AV28" s="340"/>
      <c r="AW28" s="340"/>
      <c r="AX28" s="340"/>
      <c r="AY28" s="340"/>
      <c r="AZ28" s="340"/>
      <c r="BA28" s="340"/>
      <c r="BB28" s="341"/>
      <c r="BC28" s="24"/>
    </row>
    <row r="29" spans="1:55" s="35" customFormat="1" ht="18" customHeight="1" x14ac:dyDescent="0.2">
      <c r="A29" s="22"/>
      <c r="B29" s="183"/>
      <c r="C29" s="332"/>
      <c r="D29" s="332"/>
      <c r="E29" s="332"/>
      <c r="F29" s="332"/>
      <c r="G29" s="332"/>
      <c r="H29" s="332"/>
      <c r="I29" s="332"/>
      <c r="J29" s="332"/>
      <c r="K29" s="332"/>
      <c r="L29" s="332"/>
      <c r="M29" s="332"/>
      <c r="N29" s="332"/>
      <c r="O29" s="332"/>
      <c r="P29" s="332"/>
      <c r="Q29" s="332"/>
      <c r="R29" s="332"/>
      <c r="S29" s="332"/>
      <c r="T29" s="332"/>
      <c r="U29" s="332"/>
      <c r="V29" s="170"/>
      <c r="W29" s="184"/>
      <c r="X29" s="170"/>
      <c r="Y29" s="170"/>
      <c r="Z29" s="170"/>
      <c r="AA29" s="170"/>
      <c r="AB29" s="170"/>
      <c r="AC29" s="170"/>
      <c r="AD29" s="170"/>
      <c r="AE29" s="170"/>
      <c r="AF29" s="170"/>
      <c r="AG29" s="170"/>
      <c r="AH29" s="170"/>
      <c r="AI29" s="170"/>
      <c r="AJ29" s="170"/>
      <c r="AK29" s="170"/>
      <c r="AL29" s="170"/>
      <c r="AM29" s="170"/>
      <c r="AN29" s="170"/>
      <c r="AO29" s="170"/>
      <c r="AP29" s="170"/>
      <c r="AQ29" s="170"/>
      <c r="AR29" s="175"/>
      <c r="AS29" s="36"/>
      <c r="AT29" s="342"/>
      <c r="AU29" s="340"/>
      <c r="AV29" s="340"/>
      <c r="AW29" s="340"/>
      <c r="AX29" s="340"/>
      <c r="AY29" s="340"/>
      <c r="AZ29" s="340"/>
      <c r="BA29" s="340"/>
      <c r="BB29" s="341"/>
      <c r="BC29" s="24"/>
    </row>
    <row r="30" spans="1:55" s="35" customFormat="1" ht="18" customHeight="1" x14ac:dyDescent="0.2">
      <c r="A30" s="22"/>
      <c r="B30" s="183"/>
      <c r="C30" s="332"/>
      <c r="D30" s="332"/>
      <c r="E30" s="332"/>
      <c r="F30" s="332"/>
      <c r="G30" s="332"/>
      <c r="H30" s="332"/>
      <c r="I30" s="332"/>
      <c r="J30" s="332"/>
      <c r="K30" s="332"/>
      <c r="L30" s="332"/>
      <c r="M30" s="332"/>
      <c r="N30" s="332"/>
      <c r="O30" s="332"/>
      <c r="P30" s="332"/>
      <c r="Q30" s="332"/>
      <c r="R30" s="332"/>
      <c r="S30" s="332"/>
      <c r="T30" s="332"/>
      <c r="U30" s="332"/>
      <c r="V30" s="170"/>
      <c r="W30" s="184"/>
      <c r="X30" s="170"/>
      <c r="Y30" s="170"/>
      <c r="Z30" s="170"/>
      <c r="AA30" s="170"/>
      <c r="AB30" s="170"/>
      <c r="AC30" s="170"/>
      <c r="AD30" s="170"/>
      <c r="AE30" s="170"/>
      <c r="AF30" s="170"/>
      <c r="AG30" s="170"/>
      <c r="AH30" s="170"/>
      <c r="AI30" s="170"/>
      <c r="AJ30" s="170"/>
      <c r="AK30" s="170"/>
      <c r="AL30" s="170"/>
      <c r="AM30" s="170"/>
      <c r="AN30" s="170"/>
      <c r="AO30" s="170"/>
      <c r="AP30" s="170"/>
      <c r="AQ30" s="170"/>
      <c r="AR30" s="175"/>
      <c r="AS30" s="36"/>
      <c r="AT30" s="342"/>
      <c r="AU30" s="340"/>
      <c r="AV30" s="340"/>
      <c r="AW30" s="340"/>
      <c r="AX30" s="340"/>
      <c r="AY30" s="340"/>
      <c r="AZ30" s="340"/>
      <c r="BA30" s="340"/>
      <c r="BB30" s="341"/>
      <c r="BC30" s="24"/>
    </row>
    <row r="31" spans="1:55" s="35" customFormat="1" ht="18" customHeight="1" x14ac:dyDescent="0.2">
      <c r="A31" s="22"/>
      <c r="B31" s="190"/>
      <c r="C31" s="332"/>
      <c r="D31" s="332"/>
      <c r="E31" s="332"/>
      <c r="F31" s="332"/>
      <c r="G31" s="332"/>
      <c r="H31" s="332"/>
      <c r="I31" s="332"/>
      <c r="J31" s="332"/>
      <c r="K31" s="332"/>
      <c r="L31" s="332"/>
      <c r="M31" s="332"/>
      <c r="N31" s="332"/>
      <c r="O31" s="332"/>
      <c r="P31" s="332"/>
      <c r="Q31" s="332"/>
      <c r="R31" s="332"/>
      <c r="S31" s="332"/>
      <c r="T31" s="332"/>
      <c r="U31" s="332"/>
      <c r="V31" s="170"/>
      <c r="W31" s="184"/>
      <c r="X31" s="170"/>
      <c r="Y31" s="169"/>
      <c r="Z31" s="170"/>
      <c r="AA31" s="170"/>
      <c r="AB31" s="170"/>
      <c r="AC31" s="170"/>
      <c r="AD31" s="170"/>
      <c r="AE31" s="170"/>
      <c r="AF31" s="170"/>
      <c r="AG31" s="169"/>
      <c r="AH31" s="170"/>
      <c r="AI31" s="170"/>
      <c r="AJ31" s="170"/>
      <c r="AK31" s="170"/>
      <c r="AL31" s="170"/>
      <c r="AM31" s="170"/>
      <c r="AN31" s="170"/>
      <c r="AO31" s="169"/>
      <c r="AP31" s="170"/>
      <c r="AQ31" s="170"/>
      <c r="AR31" s="175"/>
      <c r="AS31" s="36"/>
      <c r="AT31" s="342"/>
      <c r="AU31" s="340"/>
      <c r="AV31" s="340"/>
      <c r="AW31" s="340"/>
      <c r="AX31" s="340"/>
      <c r="AY31" s="340"/>
      <c r="AZ31" s="340"/>
      <c r="BA31" s="340"/>
      <c r="BB31" s="341"/>
      <c r="BC31" s="24"/>
    </row>
    <row r="32" spans="1:55" s="37" customFormat="1" ht="18" customHeight="1" x14ac:dyDescent="0.2">
      <c r="A32" s="22"/>
      <c r="B32" s="190"/>
      <c r="C32" s="332"/>
      <c r="D32" s="332"/>
      <c r="E32" s="332"/>
      <c r="F32" s="332"/>
      <c r="G32" s="332"/>
      <c r="H32" s="332"/>
      <c r="I32" s="332"/>
      <c r="J32" s="332"/>
      <c r="K32" s="332"/>
      <c r="L32" s="332"/>
      <c r="M32" s="332"/>
      <c r="N32" s="332"/>
      <c r="O32" s="332"/>
      <c r="P32" s="332"/>
      <c r="Q32" s="332"/>
      <c r="R32" s="332"/>
      <c r="S32" s="332"/>
      <c r="T32" s="332"/>
      <c r="U32" s="332"/>
      <c r="V32" s="170"/>
      <c r="W32" s="184"/>
      <c r="X32" s="170"/>
      <c r="Y32" s="170"/>
      <c r="Z32" s="170"/>
      <c r="AA32" s="170"/>
      <c r="AB32" s="170"/>
      <c r="AC32" s="170"/>
      <c r="AD32" s="170"/>
      <c r="AE32" s="170"/>
      <c r="AF32" s="170"/>
      <c r="AG32" s="170"/>
      <c r="AH32" s="170"/>
      <c r="AI32" s="170"/>
      <c r="AJ32" s="170"/>
      <c r="AK32" s="170"/>
      <c r="AL32" s="170"/>
      <c r="AM32" s="170"/>
      <c r="AN32" s="170"/>
      <c r="AO32" s="170"/>
      <c r="AP32" s="170"/>
      <c r="AQ32" s="170"/>
      <c r="AR32" s="175"/>
      <c r="AS32" s="36"/>
      <c r="AT32" s="342"/>
      <c r="AU32" s="340"/>
      <c r="AV32" s="340"/>
      <c r="AW32" s="340"/>
      <c r="AX32" s="340"/>
      <c r="AY32" s="340"/>
      <c r="AZ32" s="340"/>
      <c r="BA32" s="340"/>
      <c r="BB32" s="341"/>
      <c r="BC32" s="24"/>
    </row>
    <row r="33" spans="1:55" s="37" customFormat="1" ht="18" customHeight="1" x14ac:dyDescent="0.2">
      <c r="A33" s="22"/>
      <c r="B33" s="188"/>
      <c r="C33" s="332"/>
      <c r="D33" s="332"/>
      <c r="E33" s="332"/>
      <c r="F33" s="332"/>
      <c r="G33" s="332"/>
      <c r="H33" s="332"/>
      <c r="I33" s="332"/>
      <c r="J33" s="332"/>
      <c r="K33" s="332"/>
      <c r="L33" s="332"/>
      <c r="M33" s="332"/>
      <c r="N33" s="332"/>
      <c r="O33" s="332"/>
      <c r="P33" s="332"/>
      <c r="Q33" s="332"/>
      <c r="R33" s="332"/>
      <c r="S33" s="332"/>
      <c r="T33" s="332"/>
      <c r="U33" s="332"/>
      <c r="V33" s="170"/>
      <c r="W33" s="184"/>
      <c r="X33" s="170"/>
      <c r="Y33" s="170"/>
      <c r="Z33" s="170"/>
      <c r="AA33" s="170"/>
      <c r="AB33" s="170"/>
      <c r="AC33" s="170"/>
      <c r="AD33" s="170"/>
      <c r="AE33" s="170"/>
      <c r="AF33" s="170"/>
      <c r="AG33" s="170"/>
      <c r="AH33" s="170"/>
      <c r="AI33" s="170"/>
      <c r="AJ33" s="170"/>
      <c r="AK33" s="170"/>
      <c r="AL33" s="170"/>
      <c r="AM33" s="170"/>
      <c r="AN33" s="170"/>
      <c r="AO33" s="170"/>
      <c r="AP33" s="170"/>
      <c r="AQ33" s="170"/>
      <c r="AR33" s="175"/>
      <c r="AS33" s="38"/>
      <c r="AT33" s="275"/>
      <c r="AU33" s="233"/>
      <c r="AV33" s="233"/>
      <c r="AW33" s="233"/>
      <c r="AX33" s="233"/>
      <c r="AY33" s="233"/>
      <c r="AZ33" s="233"/>
      <c r="BA33" s="233"/>
      <c r="BB33" s="234"/>
      <c r="BC33" s="24"/>
    </row>
    <row r="34" spans="1:55" s="37" customFormat="1" ht="18" customHeight="1" x14ac:dyDescent="0.2">
      <c r="A34" s="22"/>
      <c r="B34" s="188"/>
      <c r="C34" s="332"/>
      <c r="D34" s="332"/>
      <c r="E34" s="332"/>
      <c r="F34" s="332"/>
      <c r="G34" s="332"/>
      <c r="H34" s="332"/>
      <c r="I34" s="332"/>
      <c r="J34" s="332"/>
      <c r="K34" s="332"/>
      <c r="L34" s="332"/>
      <c r="M34" s="332"/>
      <c r="N34" s="332"/>
      <c r="O34" s="332"/>
      <c r="P34" s="332"/>
      <c r="Q34" s="332"/>
      <c r="R34" s="332"/>
      <c r="S34" s="332"/>
      <c r="T34" s="332"/>
      <c r="U34" s="332"/>
      <c r="V34" s="170"/>
      <c r="W34" s="184"/>
      <c r="X34" s="170"/>
      <c r="Y34" s="169"/>
      <c r="Z34" s="170"/>
      <c r="AA34" s="170"/>
      <c r="AB34" s="170"/>
      <c r="AC34" s="170"/>
      <c r="AD34" s="170"/>
      <c r="AE34" s="170"/>
      <c r="AF34" s="170"/>
      <c r="AG34" s="169"/>
      <c r="AH34" s="170"/>
      <c r="AI34" s="170"/>
      <c r="AJ34" s="170"/>
      <c r="AK34" s="170"/>
      <c r="AL34" s="170"/>
      <c r="AM34" s="170"/>
      <c r="AN34" s="170"/>
      <c r="AO34" s="169"/>
      <c r="AP34" s="170"/>
      <c r="AQ34" s="170"/>
      <c r="AR34" s="175"/>
      <c r="AS34" s="38"/>
      <c r="AT34" s="275"/>
      <c r="AU34" s="233"/>
      <c r="AV34" s="233"/>
      <c r="AW34" s="233"/>
      <c r="AX34" s="233"/>
      <c r="AY34" s="233"/>
      <c r="AZ34" s="233"/>
      <c r="BA34" s="233"/>
      <c r="BB34" s="234"/>
      <c r="BC34" s="24"/>
    </row>
    <row r="35" spans="1:55" s="37" customFormat="1" ht="18" customHeight="1" x14ac:dyDescent="0.2">
      <c r="A35" s="22"/>
      <c r="B35" s="183"/>
      <c r="C35" s="332"/>
      <c r="D35" s="332"/>
      <c r="E35" s="332"/>
      <c r="F35" s="332"/>
      <c r="G35" s="332"/>
      <c r="H35" s="332"/>
      <c r="I35" s="332"/>
      <c r="J35" s="332"/>
      <c r="K35" s="332"/>
      <c r="L35" s="332"/>
      <c r="M35" s="332"/>
      <c r="N35" s="332"/>
      <c r="O35" s="332"/>
      <c r="P35" s="332"/>
      <c r="Q35" s="332"/>
      <c r="R35" s="332"/>
      <c r="S35" s="332"/>
      <c r="T35" s="332"/>
      <c r="U35" s="332"/>
      <c r="V35" s="170"/>
      <c r="W35" s="184"/>
      <c r="X35" s="170"/>
      <c r="Y35" s="170"/>
      <c r="Z35" s="170"/>
      <c r="AA35" s="170"/>
      <c r="AB35" s="170"/>
      <c r="AC35" s="170"/>
      <c r="AD35" s="170"/>
      <c r="AE35" s="170"/>
      <c r="AF35" s="170"/>
      <c r="AG35" s="170"/>
      <c r="AH35" s="170"/>
      <c r="AI35" s="170"/>
      <c r="AJ35" s="170"/>
      <c r="AK35" s="170"/>
      <c r="AL35" s="170"/>
      <c r="AM35" s="170"/>
      <c r="AN35" s="170"/>
      <c r="AO35" s="170"/>
      <c r="AP35" s="170"/>
      <c r="AQ35" s="170"/>
      <c r="AR35" s="175"/>
      <c r="AS35" s="38"/>
      <c r="AT35" s="275"/>
      <c r="AU35" s="233"/>
      <c r="AV35" s="233"/>
      <c r="AW35" s="233"/>
      <c r="AX35" s="233"/>
      <c r="AY35" s="233"/>
      <c r="AZ35" s="233"/>
      <c r="BA35" s="233"/>
      <c r="BB35" s="234"/>
      <c r="BC35" s="24"/>
    </row>
    <row r="36" spans="1:55" s="37" customFormat="1" ht="18" customHeight="1" x14ac:dyDescent="0.2">
      <c r="A36" s="22"/>
      <c r="B36" s="183"/>
      <c r="C36" s="332"/>
      <c r="D36" s="332"/>
      <c r="E36" s="332"/>
      <c r="F36" s="332"/>
      <c r="G36" s="332"/>
      <c r="H36" s="332"/>
      <c r="I36" s="332"/>
      <c r="J36" s="332"/>
      <c r="K36" s="332"/>
      <c r="L36" s="332"/>
      <c r="M36" s="332"/>
      <c r="N36" s="332"/>
      <c r="O36" s="332"/>
      <c r="P36" s="332"/>
      <c r="Q36" s="332"/>
      <c r="R36" s="332"/>
      <c r="S36" s="332"/>
      <c r="T36" s="332"/>
      <c r="U36" s="332"/>
      <c r="V36" s="170"/>
      <c r="W36" s="184"/>
      <c r="X36" s="170"/>
      <c r="Y36" s="170"/>
      <c r="Z36" s="170"/>
      <c r="AA36" s="170"/>
      <c r="AB36" s="170"/>
      <c r="AC36" s="170"/>
      <c r="AD36" s="170"/>
      <c r="AE36" s="170"/>
      <c r="AF36" s="170"/>
      <c r="AG36" s="170"/>
      <c r="AH36" s="170"/>
      <c r="AI36" s="170"/>
      <c r="AJ36" s="170"/>
      <c r="AK36" s="170"/>
      <c r="AL36" s="170"/>
      <c r="AM36" s="170"/>
      <c r="AN36" s="170"/>
      <c r="AO36" s="170"/>
      <c r="AP36" s="170"/>
      <c r="AQ36" s="170"/>
      <c r="AR36" s="175"/>
      <c r="AS36" s="36"/>
      <c r="AT36" s="275"/>
      <c r="AU36" s="233"/>
      <c r="AV36" s="233"/>
      <c r="AW36" s="233"/>
      <c r="AX36" s="233"/>
      <c r="AY36" s="233"/>
      <c r="AZ36" s="233"/>
      <c r="BA36" s="233"/>
      <c r="BB36" s="234"/>
      <c r="BC36" s="24"/>
    </row>
    <row r="37" spans="1:55" s="37" customFormat="1" ht="18" customHeight="1" x14ac:dyDescent="0.2">
      <c r="A37" s="22"/>
      <c r="B37" s="190"/>
      <c r="C37" s="332"/>
      <c r="D37" s="332"/>
      <c r="E37" s="332"/>
      <c r="F37" s="332"/>
      <c r="G37" s="332"/>
      <c r="H37" s="332"/>
      <c r="I37" s="332"/>
      <c r="J37" s="332"/>
      <c r="K37" s="332"/>
      <c r="L37" s="332"/>
      <c r="M37" s="332"/>
      <c r="N37" s="332"/>
      <c r="O37" s="332"/>
      <c r="P37" s="332"/>
      <c r="Q37" s="332"/>
      <c r="R37" s="332"/>
      <c r="S37" s="332"/>
      <c r="T37" s="332"/>
      <c r="U37" s="332"/>
      <c r="V37" s="170"/>
      <c r="W37" s="184"/>
      <c r="X37" s="170"/>
      <c r="Y37" s="345" t="s">
        <v>142</v>
      </c>
      <c r="Z37" s="346"/>
      <c r="AA37" s="346"/>
      <c r="AB37" s="346"/>
      <c r="AC37" s="346"/>
      <c r="AD37" s="346"/>
      <c r="AE37" s="346"/>
      <c r="AF37" s="346"/>
      <c r="AG37" s="346"/>
      <c r="AH37" s="346"/>
      <c r="AI37" s="346"/>
      <c r="AJ37" s="346"/>
      <c r="AK37" s="346"/>
      <c r="AL37" s="346"/>
      <c r="AM37" s="346"/>
      <c r="AN37" s="346"/>
      <c r="AO37" s="346"/>
      <c r="AP37" s="346"/>
      <c r="AQ37" s="346"/>
      <c r="AR37" s="175"/>
      <c r="AS37" s="36"/>
      <c r="AT37" s="275"/>
      <c r="AU37" s="233"/>
      <c r="AV37" s="233"/>
      <c r="AW37" s="233"/>
      <c r="AX37" s="233"/>
      <c r="AY37" s="233"/>
      <c r="AZ37" s="233"/>
      <c r="BA37" s="233"/>
      <c r="BB37" s="234"/>
      <c r="BC37" s="24"/>
    </row>
    <row r="38" spans="1:55" s="37" customFormat="1" ht="18" customHeight="1" x14ac:dyDescent="0.2">
      <c r="A38" s="22"/>
      <c r="B38" s="190"/>
      <c r="C38" s="332"/>
      <c r="D38" s="332"/>
      <c r="E38" s="332"/>
      <c r="F38" s="332"/>
      <c r="G38" s="332"/>
      <c r="H38" s="332"/>
      <c r="I38" s="332"/>
      <c r="J38" s="332"/>
      <c r="K38" s="332"/>
      <c r="L38" s="332"/>
      <c r="M38" s="332"/>
      <c r="N38" s="332"/>
      <c r="O38" s="332"/>
      <c r="P38" s="332"/>
      <c r="Q38" s="332"/>
      <c r="R38" s="332"/>
      <c r="S38" s="332"/>
      <c r="T38" s="332"/>
      <c r="U38" s="332"/>
      <c r="V38" s="170"/>
      <c r="W38" s="184"/>
      <c r="X38" s="170"/>
      <c r="Y38" s="346"/>
      <c r="Z38" s="346"/>
      <c r="AA38" s="346"/>
      <c r="AB38" s="346"/>
      <c r="AC38" s="346"/>
      <c r="AD38" s="346"/>
      <c r="AE38" s="346"/>
      <c r="AF38" s="346"/>
      <c r="AG38" s="346"/>
      <c r="AH38" s="346"/>
      <c r="AI38" s="346"/>
      <c r="AJ38" s="346"/>
      <c r="AK38" s="346"/>
      <c r="AL38" s="346"/>
      <c r="AM38" s="346"/>
      <c r="AN38" s="346"/>
      <c r="AO38" s="346"/>
      <c r="AP38" s="346"/>
      <c r="AQ38" s="346"/>
      <c r="AR38" s="175"/>
      <c r="AS38" s="36"/>
      <c r="AT38" s="275"/>
      <c r="AU38" s="233"/>
      <c r="AV38" s="233"/>
      <c r="AW38" s="233"/>
      <c r="AX38" s="233"/>
      <c r="AY38" s="233"/>
      <c r="AZ38" s="233"/>
      <c r="BA38" s="233"/>
      <c r="BB38" s="234"/>
      <c r="BC38" s="24"/>
    </row>
    <row r="39" spans="1:55" s="37" customFormat="1" ht="18" customHeight="1" x14ac:dyDescent="0.2">
      <c r="A39" s="22"/>
      <c r="B39" s="188"/>
      <c r="C39" s="332"/>
      <c r="D39" s="332"/>
      <c r="E39" s="332"/>
      <c r="F39" s="332"/>
      <c r="G39" s="332"/>
      <c r="H39" s="332"/>
      <c r="I39" s="332"/>
      <c r="J39" s="332"/>
      <c r="K39" s="332"/>
      <c r="L39" s="332"/>
      <c r="M39" s="332"/>
      <c r="N39" s="332"/>
      <c r="O39" s="332"/>
      <c r="P39" s="332"/>
      <c r="Q39" s="332"/>
      <c r="R39" s="332"/>
      <c r="S39" s="332"/>
      <c r="T39" s="332"/>
      <c r="U39" s="332"/>
      <c r="V39" s="170"/>
      <c r="W39" s="184"/>
      <c r="X39" s="170"/>
      <c r="Y39" s="346"/>
      <c r="Z39" s="346"/>
      <c r="AA39" s="346"/>
      <c r="AB39" s="346"/>
      <c r="AC39" s="346"/>
      <c r="AD39" s="346"/>
      <c r="AE39" s="346"/>
      <c r="AF39" s="346"/>
      <c r="AG39" s="346"/>
      <c r="AH39" s="346"/>
      <c r="AI39" s="346"/>
      <c r="AJ39" s="346"/>
      <c r="AK39" s="346"/>
      <c r="AL39" s="346"/>
      <c r="AM39" s="346"/>
      <c r="AN39" s="346"/>
      <c r="AO39" s="346"/>
      <c r="AP39" s="346"/>
      <c r="AQ39" s="346"/>
      <c r="AR39" s="175"/>
      <c r="AS39" s="39"/>
      <c r="AT39" s="275"/>
      <c r="AU39" s="233"/>
      <c r="AV39" s="233"/>
      <c r="AW39" s="233"/>
      <c r="AX39" s="233"/>
      <c r="AY39" s="233"/>
      <c r="AZ39" s="233"/>
      <c r="BA39" s="233"/>
      <c r="BB39" s="234"/>
      <c r="BC39" s="40"/>
    </row>
    <row r="40" spans="1:55" s="37" customFormat="1" ht="18" customHeight="1" thickBot="1" x14ac:dyDescent="0.25">
      <c r="A40" s="22"/>
      <c r="B40" s="188"/>
      <c r="C40" s="168"/>
      <c r="D40" s="168"/>
      <c r="E40" s="168"/>
      <c r="V40" s="170"/>
      <c r="W40" s="184"/>
      <c r="X40" s="170"/>
      <c r="Y40" s="346"/>
      <c r="Z40" s="346"/>
      <c r="AA40" s="346"/>
      <c r="AB40" s="346"/>
      <c r="AC40" s="346"/>
      <c r="AD40" s="346"/>
      <c r="AE40" s="346"/>
      <c r="AF40" s="346"/>
      <c r="AG40" s="346"/>
      <c r="AH40" s="346"/>
      <c r="AI40" s="346"/>
      <c r="AJ40" s="346"/>
      <c r="AK40" s="346"/>
      <c r="AL40" s="346"/>
      <c r="AM40" s="346"/>
      <c r="AN40" s="346"/>
      <c r="AO40" s="346"/>
      <c r="AP40" s="346"/>
      <c r="AQ40" s="346"/>
      <c r="AR40" s="175"/>
      <c r="AS40" s="39"/>
      <c r="AT40" s="276"/>
      <c r="AU40" s="277"/>
      <c r="AV40" s="277"/>
      <c r="AW40" s="277"/>
      <c r="AX40" s="277"/>
      <c r="AY40" s="277"/>
      <c r="AZ40" s="277"/>
      <c r="BA40" s="277"/>
      <c r="BB40" s="278"/>
      <c r="BC40" s="40"/>
    </row>
    <row r="41" spans="1:55" s="37" customFormat="1" ht="18" customHeight="1" thickTop="1" x14ac:dyDescent="0.2">
      <c r="A41" s="22"/>
      <c r="B41" s="183"/>
      <c r="C41" s="186"/>
      <c r="D41" s="186"/>
      <c r="E41" s="187"/>
      <c r="F41" s="187"/>
      <c r="V41" s="170"/>
      <c r="W41" s="184"/>
      <c r="X41" s="170"/>
      <c r="Y41" s="346"/>
      <c r="Z41" s="346"/>
      <c r="AA41" s="346"/>
      <c r="AB41" s="346"/>
      <c r="AC41" s="346"/>
      <c r="AD41" s="346"/>
      <c r="AE41" s="346"/>
      <c r="AF41" s="346"/>
      <c r="AG41" s="346"/>
      <c r="AH41" s="346"/>
      <c r="AI41" s="346"/>
      <c r="AJ41" s="346"/>
      <c r="AK41" s="346"/>
      <c r="AL41" s="346"/>
      <c r="AM41" s="346"/>
      <c r="AN41" s="346"/>
      <c r="AO41" s="346"/>
      <c r="AP41" s="346"/>
      <c r="AQ41" s="346"/>
      <c r="AR41" s="175"/>
      <c r="AS41" s="39"/>
      <c r="AT41" s="160"/>
      <c r="AU41" s="160"/>
      <c r="AV41" s="160"/>
      <c r="AW41" s="160"/>
      <c r="AX41" s="160"/>
      <c r="AY41" s="160"/>
      <c r="AZ41" s="160"/>
      <c r="BA41" s="160"/>
      <c r="BB41" s="160"/>
      <c r="BC41" s="24"/>
    </row>
    <row r="42" spans="1:55" s="37" customFormat="1" ht="18" customHeight="1" x14ac:dyDescent="0.2">
      <c r="A42" s="22"/>
      <c r="B42" s="183"/>
      <c r="C42" s="186"/>
      <c r="D42" s="186"/>
      <c r="E42" s="187"/>
      <c r="F42" s="187"/>
      <c r="G42" s="187"/>
      <c r="H42" s="187"/>
      <c r="I42" s="170"/>
      <c r="J42" s="170"/>
      <c r="K42" s="170"/>
      <c r="L42" s="170"/>
      <c r="M42" s="170"/>
      <c r="N42" s="170"/>
      <c r="O42" s="170"/>
      <c r="P42" s="170"/>
      <c r="Q42" s="170"/>
      <c r="R42" s="170"/>
      <c r="S42" s="170"/>
      <c r="T42" s="170"/>
      <c r="U42" s="170"/>
      <c r="V42" s="170"/>
      <c r="W42" s="184"/>
      <c r="X42" s="170"/>
      <c r="Y42" s="346"/>
      <c r="Z42" s="346"/>
      <c r="AA42" s="346"/>
      <c r="AB42" s="346"/>
      <c r="AC42" s="346"/>
      <c r="AD42" s="346"/>
      <c r="AE42" s="346"/>
      <c r="AF42" s="346"/>
      <c r="AG42" s="346"/>
      <c r="AH42" s="346"/>
      <c r="AI42" s="346"/>
      <c r="AJ42" s="346"/>
      <c r="AK42" s="346"/>
      <c r="AL42" s="346"/>
      <c r="AM42" s="346"/>
      <c r="AN42" s="346"/>
      <c r="AO42" s="346"/>
      <c r="AP42" s="346"/>
      <c r="AQ42" s="346"/>
      <c r="AR42" s="175"/>
      <c r="AS42" s="39"/>
      <c r="AT42" s="154"/>
      <c r="AU42" s="154"/>
      <c r="AV42" s="154"/>
      <c r="AW42" s="154"/>
      <c r="AX42" s="154"/>
      <c r="AY42" s="154"/>
      <c r="AZ42" s="154"/>
      <c r="BA42" s="154"/>
      <c r="BB42" s="154"/>
      <c r="BC42" s="24"/>
    </row>
    <row r="43" spans="1:55" s="35" customFormat="1" ht="18" customHeight="1" x14ac:dyDescent="0.2">
      <c r="A43" s="22"/>
      <c r="B43" s="183"/>
      <c r="C43" s="326" t="s">
        <v>11</v>
      </c>
      <c r="D43" s="327"/>
      <c r="E43" s="327"/>
      <c r="F43" s="327"/>
      <c r="G43" s="327"/>
      <c r="H43" s="327"/>
      <c r="I43" s="169"/>
      <c r="J43" s="170"/>
      <c r="K43" s="170"/>
      <c r="L43" s="170"/>
      <c r="M43" s="170"/>
      <c r="N43" s="170"/>
      <c r="O43" s="170"/>
      <c r="P43" s="170"/>
      <c r="Q43" s="169"/>
      <c r="R43" s="170"/>
      <c r="S43" s="170"/>
      <c r="T43" s="170"/>
      <c r="U43" s="170"/>
      <c r="V43" s="170"/>
      <c r="W43" s="184"/>
      <c r="X43" s="170"/>
      <c r="Y43" s="346"/>
      <c r="Z43" s="346"/>
      <c r="AA43" s="346"/>
      <c r="AB43" s="346"/>
      <c r="AC43" s="346"/>
      <c r="AD43" s="346"/>
      <c r="AE43" s="346"/>
      <c r="AF43" s="346"/>
      <c r="AG43" s="346"/>
      <c r="AH43" s="346"/>
      <c r="AI43" s="346"/>
      <c r="AJ43" s="346"/>
      <c r="AK43" s="346"/>
      <c r="AL43" s="346"/>
      <c r="AM43" s="346"/>
      <c r="AN43" s="346"/>
      <c r="AO43" s="346"/>
      <c r="AP43" s="346"/>
      <c r="AQ43" s="346"/>
      <c r="AR43" s="175"/>
      <c r="AS43" s="39"/>
      <c r="AT43" s="155"/>
      <c r="AU43" s="155"/>
      <c r="AV43" s="155"/>
      <c r="AW43" s="155"/>
      <c r="AX43" s="155"/>
      <c r="AY43" s="155"/>
      <c r="AZ43" s="155"/>
      <c r="BA43" s="155"/>
      <c r="BB43" s="155"/>
      <c r="BC43" s="24"/>
    </row>
    <row r="44" spans="1:55" s="35" customFormat="1" ht="18" customHeight="1" x14ac:dyDescent="0.2">
      <c r="A44" s="22"/>
      <c r="B44" s="183"/>
      <c r="C44" s="328" t="s">
        <v>12</v>
      </c>
      <c r="D44" s="329"/>
      <c r="E44" s="329"/>
      <c r="F44" s="329"/>
      <c r="G44" s="329"/>
      <c r="H44" s="329"/>
      <c r="I44" s="170"/>
      <c r="J44" s="170"/>
      <c r="K44" s="170"/>
      <c r="L44" s="170"/>
      <c r="M44" s="170"/>
      <c r="N44" s="170"/>
      <c r="O44" s="170"/>
      <c r="P44" s="170"/>
      <c r="Q44" s="170"/>
      <c r="R44" s="170"/>
      <c r="S44" s="170"/>
      <c r="T44" s="170"/>
      <c r="U44" s="170"/>
      <c r="V44" s="170"/>
      <c r="W44" s="184"/>
      <c r="X44" s="170"/>
      <c r="Y44" s="346"/>
      <c r="Z44" s="346"/>
      <c r="AA44" s="346"/>
      <c r="AB44" s="346"/>
      <c r="AC44" s="346"/>
      <c r="AD44" s="346"/>
      <c r="AE44" s="346"/>
      <c r="AF44" s="346"/>
      <c r="AG44" s="346"/>
      <c r="AH44" s="346"/>
      <c r="AI44" s="346"/>
      <c r="AJ44" s="346"/>
      <c r="AK44" s="346"/>
      <c r="AL44" s="346"/>
      <c r="AM44" s="346"/>
      <c r="AN44" s="346"/>
      <c r="AO44" s="346"/>
      <c r="AP44" s="346"/>
      <c r="AQ44" s="346"/>
      <c r="AR44" s="175"/>
      <c r="AS44" s="39"/>
      <c r="AT44" s="154"/>
      <c r="AU44" s="154"/>
      <c r="AV44" s="154"/>
      <c r="AW44" s="154"/>
      <c r="AX44" s="154"/>
      <c r="AY44" s="154"/>
      <c r="AZ44" s="154"/>
      <c r="BA44" s="154"/>
      <c r="BB44" s="154"/>
      <c r="BC44" s="24"/>
    </row>
    <row r="45" spans="1:55" s="35" customFormat="1" ht="18" customHeight="1" thickBot="1" x14ac:dyDescent="0.25">
      <c r="A45" s="22"/>
      <c r="B45" s="191"/>
      <c r="C45" s="330"/>
      <c r="D45" s="330"/>
      <c r="E45" s="330"/>
      <c r="F45" s="330"/>
      <c r="G45" s="330"/>
      <c r="H45" s="330"/>
      <c r="I45" s="192"/>
      <c r="J45" s="192"/>
      <c r="K45" s="192"/>
      <c r="L45" s="192"/>
      <c r="M45" s="192"/>
      <c r="N45" s="192"/>
      <c r="O45" s="192"/>
      <c r="P45" s="192"/>
      <c r="Q45" s="192"/>
      <c r="R45" s="192"/>
      <c r="S45" s="192"/>
      <c r="T45" s="192"/>
      <c r="U45" s="192"/>
      <c r="V45" s="192"/>
      <c r="W45" s="184"/>
      <c r="X45" s="192"/>
      <c r="Y45" s="347"/>
      <c r="Z45" s="347"/>
      <c r="AA45" s="347"/>
      <c r="AB45" s="347"/>
      <c r="AC45" s="347"/>
      <c r="AD45" s="347"/>
      <c r="AE45" s="347"/>
      <c r="AF45" s="347"/>
      <c r="AG45" s="347"/>
      <c r="AH45" s="347"/>
      <c r="AI45" s="347"/>
      <c r="AJ45" s="347"/>
      <c r="AK45" s="347"/>
      <c r="AL45" s="347"/>
      <c r="AM45" s="347"/>
      <c r="AN45" s="347"/>
      <c r="AO45" s="347"/>
      <c r="AP45" s="347"/>
      <c r="AQ45" s="347"/>
      <c r="AR45" s="193"/>
      <c r="AS45" s="39"/>
      <c r="AT45" s="263" t="s">
        <v>130</v>
      </c>
      <c r="AU45" s="263"/>
      <c r="AV45" s="263"/>
      <c r="AW45" s="263"/>
      <c r="AX45" s="201"/>
      <c r="AY45" s="264"/>
      <c r="AZ45" s="264"/>
      <c r="BA45" s="264"/>
      <c r="BB45" s="264"/>
      <c r="BC45" s="24"/>
    </row>
    <row r="46" spans="1:55" s="37" customFormat="1" ht="9" customHeight="1" thickTop="1" thickBot="1" x14ac:dyDescent="0.25">
      <c r="A46" s="41"/>
      <c r="B46" s="42"/>
      <c r="C46" s="42"/>
      <c r="D46" s="42"/>
      <c r="E46" s="42"/>
      <c r="F46" s="42"/>
      <c r="G46" s="42"/>
      <c r="H46" s="42"/>
      <c r="I46" s="42"/>
      <c r="J46" s="42"/>
      <c r="K46" s="42"/>
      <c r="L46" s="42"/>
      <c r="M46" s="42"/>
      <c r="N46" s="42"/>
      <c r="O46" s="42"/>
      <c r="P46" s="43"/>
      <c r="Q46" s="42"/>
      <c r="R46" s="44"/>
      <c r="S46" s="44"/>
      <c r="T46" s="44"/>
      <c r="U46" s="44"/>
      <c r="V46" s="44"/>
      <c r="W46" s="44"/>
      <c r="X46" s="44"/>
      <c r="Y46" s="44"/>
      <c r="Z46" s="44"/>
      <c r="AA46" s="44"/>
      <c r="AB46" s="44"/>
      <c r="AC46" s="44"/>
      <c r="AD46" s="44"/>
      <c r="AE46" s="44"/>
      <c r="AF46" s="45"/>
      <c r="AG46" s="42"/>
      <c r="AH46" s="42"/>
      <c r="AI46" s="42"/>
      <c r="AJ46" s="42"/>
      <c r="AK46" s="42"/>
      <c r="AL46" s="42"/>
      <c r="AM46" s="42"/>
      <c r="AN46" s="42"/>
      <c r="AO46" s="42"/>
      <c r="AP46" s="42"/>
      <c r="AQ46" s="42"/>
      <c r="AR46" s="42"/>
      <c r="AS46" s="46"/>
      <c r="AT46" s="156"/>
      <c r="AU46" s="156"/>
      <c r="AV46" s="156"/>
      <c r="AW46" s="156"/>
      <c r="AX46" s="156"/>
      <c r="AY46" s="156"/>
      <c r="AZ46" s="156"/>
      <c r="BA46" s="156"/>
      <c r="BB46" s="156"/>
      <c r="BC46" s="157"/>
    </row>
    <row r="47" spans="1:55" s="37" customFormat="1" ht="18" customHeight="1" thickTop="1" x14ac:dyDescent="0.2">
      <c r="A47" s="30"/>
      <c r="B47" s="36"/>
      <c r="C47" s="36"/>
      <c r="D47" s="36"/>
      <c r="E47" s="36"/>
      <c r="F47" s="36"/>
      <c r="G47" s="36"/>
      <c r="H47" s="36"/>
      <c r="I47" s="36"/>
      <c r="J47" s="36"/>
      <c r="K47" s="36"/>
      <c r="L47" s="36"/>
      <c r="M47" s="36"/>
      <c r="N47" s="36"/>
      <c r="O47" s="36"/>
      <c r="P47" s="47"/>
      <c r="Q47" s="36"/>
      <c r="R47" s="33"/>
      <c r="S47" s="33"/>
      <c r="T47" s="33"/>
      <c r="U47" s="33"/>
      <c r="V47" s="33"/>
      <c r="W47" s="33"/>
      <c r="X47" s="33"/>
      <c r="Y47" s="33"/>
      <c r="Z47" s="33"/>
      <c r="AA47" s="33"/>
      <c r="AB47" s="33"/>
      <c r="AC47" s="33"/>
      <c r="AD47" s="33"/>
      <c r="AE47" s="33"/>
      <c r="AF47" s="38"/>
      <c r="AG47" s="36"/>
      <c r="AH47" s="36"/>
      <c r="AI47" s="36"/>
      <c r="AJ47" s="36"/>
      <c r="AK47" s="36"/>
      <c r="AL47" s="36"/>
      <c r="AM47" s="36"/>
      <c r="AN47" s="36"/>
      <c r="AO47" s="36"/>
      <c r="AP47" s="36"/>
      <c r="AQ47" s="36"/>
      <c r="AR47" s="36"/>
      <c r="AS47" s="36"/>
      <c r="AT47" s="36"/>
      <c r="AU47" s="36"/>
      <c r="AV47" s="36"/>
      <c r="AW47" s="36"/>
      <c r="AX47" s="48"/>
      <c r="AY47" s="31"/>
      <c r="AZ47" s="31"/>
      <c r="BA47" s="31"/>
      <c r="BB47" s="31"/>
      <c r="BC47" s="30"/>
    </row>
    <row r="48" spans="1:55" s="37" customFormat="1" ht="18" customHeight="1" x14ac:dyDescent="0.2">
      <c r="A48" s="4"/>
      <c r="B48" s="49"/>
      <c r="C48" s="49"/>
      <c r="D48" s="49"/>
      <c r="E48" s="49"/>
      <c r="F48"/>
      <c r="G48" s="49"/>
      <c r="H48" s="49"/>
      <c r="I48" s="49"/>
      <c r="J48" s="49"/>
      <c r="K48" s="49"/>
      <c r="L48" s="49"/>
      <c r="M48"/>
      <c r="N48" s="49"/>
      <c r="O48" s="49"/>
      <c r="P48" s="49"/>
      <c r="Q48" s="49"/>
      <c r="R48" s="49"/>
      <c r="S48" s="49"/>
      <c r="T48"/>
      <c r="U48" s="49"/>
      <c r="V48" s="49"/>
      <c r="W48" s="49"/>
      <c r="X48" s="49"/>
      <c r="Y48" s="49"/>
      <c r="Z48" s="49"/>
      <c r="AA48"/>
      <c r="AB48" s="49"/>
      <c r="AC48" s="49"/>
      <c r="AD48" s="49"/>
      <c r="AE48" s="49"/>
      <c r="AF48" s="49"/>
      <c r="AG48" s="49"/>
      <c r="AH48" s="49"/>
      <c r="AI48" s="4"/>
      <c r="AJ48" s="4"/>
      <c r="AK48" s="4"/>
      <c r="AL48" s="4"/>
      <c r="AM48" s="4"/>
      <c r="AN48" s="4"/>
      <c r="AO48" s="4"/>
      <c r="AP48" s="4"/>
      <c r="AQ48" s="4"/>
      <c r="AR48" s="4"/>
      <c r="AS48" s="4"/>
      <c r="AT48" s="4"/>
      <c r="AU48" s="4"/>
      <c r="AV48" s="4"/>
      <c r="AW48" s="4"/>
      <c r="AX48" s="4"/>
      <c r="AY48" s="4"/>
      <c r="AZ48" s="4"/>
      <c r="BA48" s="4"/>
      <c r="BB48" s="4"/>
      <c r="BC48" s="4"/>
    </row>
    <row r="49" spans="1:55" s="37" customFormat="1" ht="18" customHeight="1" x14ac:dyDescent="0.25">
      <c r="A49" s="4"/>
      <c r="B49" s="49"/>
      <c r="C49" s="49"/>
      <c r="D49" s="49"/>
      <c r="E49" s="49"/>
      <c r="F49"/>
      <c r="G49" s="49"/>
      <c r="H49" s="49"/>
      <c r="I49" s="49"/>
      <c r="J49" s="49"/>
      <c r="K49" s="49"/>
      <c r="L49" s="49"/>
      <c r="M49"/>
      <c r="N49" s="49"/>
      <c r="O49" s="49"/>
      <c r="P49" s="49"/>
      <c r="Q49" s="49"/>
      <c r="R49" s="49"/>
      <c r="S49" s="49"/>
      <c r="T49"/>
      <c r="U49" s="49"/>
      <c r="V49" s="49"/>
      <c r="W49" s="49"/>
      <c r="X49" s="49"/>
      <c r="Y49" s="49"/>
      <c r="Z49" s="49"/>
      <c r="AA49"/>
      <c r="AB49" s="49"/>
      <c r="AC49" s="49"/>
      <c r="AD49" s="49"/>
      <c r="AE49" s="49"/>
      <c r="AF49" s="49"/>
      <c r="AG49" s="49"/>
      <c r="AH49" s="49"/>
      <c r="AI49" s="4"/>
      <c r="AJ49" s="4"/>
      <c r="AK49" s="194"/>
      <c r="AL49" s="4"/>
      <c r="AM49" s="4"/>
      <c r="AN49" s="4"/>
      <c r="AO49" s="4"/>
      <c r="AP49" s="4"/>
      <c r="AQ49" s="4"/>
      <c r="AR49" s="4"/>
      <c r="AS49" s="4"/>
      <c r="AT49" s="4"/>
      <c r="AU49" s="4"/>
      <c r="AV49" s="4"/>
      <c r="AW49" s="4"/>
      <c r="AX49" s="4"/>
      <c r="AY49" s="4"/>
      <c r="AZ49" s="4"/>
      <c r="BA49" s="4"/>
      <c r="BB49" s="4"/>
      <c r="BC49" s="4"/>
    </row>
    <row r="50" spans="1:55" s="37" customFormat="1" ht="18" customHeight="1" x14ac:dyDescent="0.2">
      <c r="A50" s="4"/>
      <c r="B50" s="49"/>
      <c r="C50" s="49"/>
      <c r="D50" s="49"/>
      <c r="E50" s="49"/>
      <c r="F50"/>
      <c r="G50" s="49"/>
      <c r="H50" s="49"/>
      <c r="I50" s="49"/>
      <c r="J50" s="49"/>
      <c r="K50" s="49"/>
      <c r="L50" s="49"/>
      <c r="M50"/>
      <c r="N50" s="49"/>
      <c r="O50" s="49"/>
      <c r="P50" s="49"/>
      <c r="Q50" s="49"/>
      <c r="R50" s="49"/>
      <c r="S50" s="49"/>
      <c r="T50"/>
      <c r="U50" s="49"/>
      <c r="V50" s="49"/>
      <c r="W50" s="49"/>
      <c r="X50" s="49"/>
      <c r="Y50" s="49"/>
      <c r="Z50" s="49"/>
      <c r="AA50"/>
      <c r="AB50" s="49"/>
      <c r="AC50" s="49"/>
      <c r="AD50" s="49"/>
      <c r="AE50" s="49"/>
      <c r="AF50" s="49"/>
      <c r="AG50" s="49"/>
      <c r="AH50" s="49"/>
      <c r="AI50" s="4"/>
      <c r="AJ50" s="4"/>
      <c r="AK50" s="195"/>
      <c r="AL50" s="4"/>
      <c r="AM50" s="4"/>
      <c r="AN50" s="4"/>
      <c r="AO50" s="4"/>
      <c r="AP50" s="4"/>
      <c r="AQ50" s="4"/>
      <c r="AR50" s="4"/>
      <c r="AS50" s="4"/>
      <c r="AT50" s="4"/>
      <c r="AU50" s="4"/>
      <c r="AV50" s="4"/>
      <c r="AW50" s="4"/>
      <c r="AX50" s="4"/>
      <c r="AY50" s="4"/>
      <c r="AZ50" s="4"/>
      <c r="BA50" s="4"/>
      <c r="BB50" s="4"/>
      <c r="BC50" s="4"/>
    </row>
    <row r="51" spans="1:55" s="37" customFormat="1" ht="18" customHeight="1" x14ac:dyDescent="0.2">
      <c r="A51" s="4"/>
      <c r="B51" s="49"/>
      <c r="C51" s="49"/>
      <c r="D51" s="49"/>
      <c r="E51" s="49"/>
      <c r="F51"/>
      <c r="G51" s="49"/>
      <c r="H51" s="49"/>
      <c r="I51" s="49"/>
      <c r="J51" s="49"/>
      <c r="K51" s="49"/>
      <c r="L51" s="49"/>
      <c r="M51"/>
      <c r="N51" s="49"/>
      <c r="O51" s="49"/>
      <c r="P51" s="49"/>
      <c r="Q51" s="49"/>
      <c r="R51" s="49"/>
      <c r="S51" s="49"/>
      <c r="T51"/>
      <c r="U51" s="49"/>
      <c r="V51" s="49"/>
      <c r="W51" s="49"/>
      <c r="X51" s="49"/>
      <c r="Y51" s="49"/>
      <c r="Z51" s="49"/>
      <c r="AA51"/>
      <c r="AB51" s="49"/>
      <c r="AC51" s="49"/>
      <c r="AD51" s="49"/>
      <c r="AE51" s="49"/>
      <c r="AF51" s="49"/>
      <c r="AG51" s="49"/>
      <c r="AH51" s="49"/>
      <c r="AI51" s="4"/>
      <c r="AJ51" s="4"/>
      <c r="AK51" s="195"/>
      <c r="AL51" s="4"/>
      <c r="AM51" s="4"/>
      <c r="AN51" s="4"/>
      <c r="AO51" s="4"/>
      <c r="AP51" s="4"/>
      <c r="AQ51" s="4"/>
      <c r="AR51" s="4"/>
      <c r="AS51" s="4"/>
      <c r="AT51" s="4"/>
      <c r="AU51" s="4"/>
      <c r="AV51" s="4"/>
      <c r="AW51" s="4"/>
      <c r="AX51" s="4"/>
      <c r="AY51" s="4"/>
      <c r="AZ51" s="4"/>
      <c r="BA51" s="4"/>
      <c r="BB51" s="4"/>
      <c r="BC51" s="4"/>
    </row>
    <row r="52" spans="1:55" s="37" customFormat="1" ht="18" customHeight="1" x14ac:dyDescent="0.2">
      <c r="A52" s="4"/>
      <c r="B52" s="49"/>
      <c r="C52" s="49"/>
      <c r="D52" s="49"/>
      <c r="E52" s="49"/>
      <c r="F52"/>
      <c r="G52" s="49"/>
      <c r="H52" s="49"/>
      <c r="I52" s="49"/>
      <c r="J52" s="49"/>
      <c r="K52" s="49"/>
      <c r="L52" s="49"/>
      <c r="M52"/>
      <c r="N52" s="49"/>
      <c r="O52" s="49"/>
      <c r="P52" s="49"/>
      <c r="Q52" s="49"/>
      <c r="R52" s="49"/>
      <c r="S52" s="49"/>
      <c r="T52"/>
      <c r="U52" s="49"/>
      <c r="V52" s="49"/>
      <c r="W52" s="49"/>
      <c r="X52" s="49"/>
      <c r="Y52" s="49"/>
      <c r="Z52" s="49"/>
      <c r="AA52"/>
      <c r="AB52" s="49"/>
      <c r="AC52" s="49"/>
      <c r="AD52" s="49"/>
      <c r="AE52" s="49"/>
      <c r="AF52" s="49"/>
      <c r="AG52" s="49"/>
      <c r="AH52" s="49"/>
      <c r="AI52" s="4"/>
      <c r="AJ52" s="4"/>
      <c r="AK52" s="195"/>
      <c r="AL52" s="4"/>
      <c r="AM52" s="4"/>
      <c r="AN52" s="4"/>
      <c r="AO52" s="4"/>
      <c r="AP52" s="4"/>
      <c r="AQ52" s="4"/>
      <c r="AR52" s="4"/>
      <c r="AS52" s="4"/>
      <c r="AT52" s="4"/>
      <c r="AU52" s="4"/>
      <c r="AV52" s="4"/>
      <c r="AW52" s="4"/>
      <c r="AX52" s="4"/>
      <c r="AY52" s="4"/>
      <c r="AZ52" s="4"/>
      <c r="BA52" s="4"/>
      <c r="BB52" s="4"/>
      <c r="BC52" s="4"/>
    </row>
    <row r="53" spans="1:55" s="37" customFormat="1" ht="18" customHeight="1" x14ac:dyDescent="0.2">
      <c r="A53" s="4"/>
      <c r="B53" s="49"/>
      <c r="C53" s="49"/>
      <c r="D53" s="49"/>
      <c r="E53" s="49"/>
      <c r="F53"/>
      <c r="G53" s="49"/>
      <c r="H53" s="49"/>
      <c r="I53" s="49"/>
      <c r="J53" s="49"/>
      <c r="K53" s="49"/>
      <c r="L53" s="49"/>
      <c r="M53"/>
      <c r="N53" s="49"/>
      <c r="O53" s="49"/>
      <c r="P53" s="49"/>
      <c r="Q53" s="49"/>
      <c r="R53" s="49"/>
      <c r="S53" s="49"/>
      <c r="T53"/>
      <c r="U53" s="49"/>
      <c r="V53" s="49"/>
      <c r="W53" s="49"/>
      <c r="X53" s="49"/>
      <c r="Y53" s="49"/>
      <c r="Z53" s="49"/>
      <c r="AA53"/>
      <c r="AB53" s="49"/>
      <c r="AC53" s="49"/>
      <c r="AD53" s="49"/>
      <c r="AE53" s="49"/>
      <c r="AF53" s="49"/>
      <c r="AG53" s="49"/>
      <c r="AH53" s="49"/>
      <c r="AI53" s="4"/>
      <c r="AJ53" s="4"/>
      <c r="AK53" s="195"/>
      <c r="AL53" s="4"/>
      <c r="AM53" s="4"/>
      <c r="AN53" s="4"/>
      <c r="AO53" s="4"/>
      <c r="AP53" s="4"/>
      <c r="AQ53" s="4"/>
      <c r="AR53" s="4"/>
      <c r="AS53" s="4"/>
      <c r="AT53" s="4"/>
      <c r="AU53" s="4"/>
      <c r="AV53" s="4"/>
      <c r="AW53" s="4"/>
      <c r="AX53" s="4"/>
      <c r="AY53" s="4"/>
      <c r="AZ53" s="4"/>
      <c r="BA53" s="4"/>
      <c r="BB53" s="4"/>
      <c r="BC53" s="4"/>
    </row>
    <row r="54" spans="1:55" s="37" customFormat="1" ht="18" customHeight="1" x14ac:dyDescent="0.2">
      <c r="A54" s="4"/>
      <c r="B54" s="49"/>
      <c r="C54" s="49"/>
      <c r="D54" s="49"/>
      <c r="E54" s="49"/>
      <c r="F54"/>
      <c r="G54" s="49"/>
      <c r="H54" s="49"/>
      <c r="I54" s="49"/>
      <c r="J54" s="49"/>
      <c r="K54" s="49"/>
      <c r="L54" s="49"/>
      <c r="M54"/>
      <c r="N54" s="49"/>
      <c r="O54" s="49"/>
      <c r="P54" s="49"/>
      <c r="Q54" s="49"/>
      <c r="R54" s="49"/>
      <c r="S54" s="49"/>
      <c r="T54"/>
      <c r="U54" s="49"/>
      <c r="V54" s="49"/>
      <c r="W54" s="49"/>
      <c r="X54" s="49"/>
      <c r="Y54" s="49"/>
      <c r="Z54" s="49"/>
      <c r="AA54"/>
      <c r="AB54" s="49"/>
      <c r="AC54" s="49"/>
      <c r="AD54" s="49"/>
      <c r="AE54" s="49"/>
      <c r="AF54" s="49"/>
      <c r="AG54" s="49"/>
      <c r="AH54" s="49"/>
      <c r="AI54" s="4"/>
      <c r="AJ54" s="4"/>
      <c r="AK54" s="195"/>
      <c r="AL54" s="4"/>
      <c r="AM54" s="4"/>
      <c r="AN54" s="4"/>
      <c r="AO54" s="4"/>
      <c r="AP54" s="4"/>
      <c r="AQ54" s="4"/>
      <c r="AR54" s="4"/>
      <c r="AS54" s="4"/>
      <c r="AT54" s="4"/>
      <c r="AU54" s="4"/>
      <c r="AV54" s="4"/>
      <c r="AW54" s="4"/>
      <c r="AX54" s="4"/>
      <c r="AY54" s="4"/>
      <c r="AZ54" s="4"/>
      <c r="BA54" s="4"/>
      <c r="BB54" s="4"/>
      <c r="BC54" s="4"/>
    </row>
    <row r="55" spans="1:55" s="37" customFormat="1" ht="9" customHeight="1" x14ac:dyDescent="0.2">
      <c r="A55" s="4"/>
      <c r="B55" s="49"/>
      <c r="C55" s="49"/>
      <c r="D55" s="49"/>
      <c r="E55" s="49"/>
      <c r="F55"/>
      <c r="G55" s="49"/>
      <c r="H55" s="49"/>
      <c r="I55" s="49"/>
      <c r="J55" s="49"/>
      <c r="K55" s="49"/>
      <c r="L55" s="49"/>
      <c r="M55"/>
      <c r="N55" s="49"/>
      <c r="O55" s="49"/>
      <c r="P55" s="49"/>
      <c r="Q55" s="49"/>
      <c r="R55" s="49"/>
      <c r="S55" s="49"/>
      <c r="T55"/>
      <c r="U55" s="49"/>
      <c r="V55" s="49"/>
      <c r="W55" s="49"/>
      <c r="X55" s="49"/>
      <c r="Y55" s="49"/>
      <c r="Z55" s="49"/>
      <c r="AA55"/>
      <c r="AB55" s="49"/>
      <c r="AC55" s="49"/>
      <c r="AD55" s="49"/>
      <c r="AE55" s="49"/>
      <c r="AF55" s="49"/>
      <c r="AG55" s="49"/>
      <c r="AH55" s="49"/>
      <c r="AI55" s="4"/>
      <c r="AJ55" s="4"/>
      <c r="AK55" s="195"/>
      <c r="AL55" s="4"/>
      <c r="AM55" s="4"/>
      <c r="AN55" s="4"/>
      <c r="AO55" s="4"/>
      <c r="AP55" s="4"/>
      <c r="AQ55" s="4"/>
      <c r="AR55" s="4"/>
      <c r="AS55" s="4"/>
      <c r="AT55" s="4"/>
      <c r="AU55" s="4"/>
      <c r="AV55" s="4"/>
      <c r="AW55" s="4"/>
      <c r="AX55" s="4"/>
      <c r="AY55" s="4"/>
      <c r="AZ55" s="4"/>
      <c r="BA55" s="4"/>
      <c r="BB55" s="4"/>
      <c r="BC55" s="4"/>
    </row>
    <row r="56" spans="1:55" s="37" customFormat="1" ht="9" customHeight="1" x14ac:dyDescent="0.2">
      <c r="A56" s="4"/>
      <c r="B56" s="49"/>
      <c r="C56" s="49"/>
      <c r="D56" s="49"/>
      <c r="E56" s="49"/>
      <c r="F56"/>
      <c r="G56" s="49"/>
      <c r="H56" s="49"/>
      <c r="I56" s="49"/>
      <c r="J56" s="49"/>
      <c r="K56" s="49"/>
      <c r="L56" s="49"/>
      <c r="M56"/>
      <c r="N56" s="49"/>
      <c r="O56" s="49"/>
      <c r="P56" s="49"/>
      <c r="Q56" s="49"/>
      <c r="R56" s="49"/>
      <c r="S56" s="49"/>
      <c r="T56"/>
      <c r="U56" s="49"/>
      <c r="V56" s="49"/>
      <c r="W56" s="49"/>
      <c r="X56" s="49"/>
      <c r="Y56" s="49"/>
      <c r="Z56" s="49"/>
      <c r="AA56" s="49"/>
      <c r="AB56" s="49"/>
      <c r="AC56" s="49"/>
      <c r="AD56" s="49"/>
      <c r="AE56" s="49"/>
      <c r="AF56" s="49"/>
      <c r="AG56" s="49"/>
      <c r="AH56" s="49"/>
      <c r="AI56" s="4"/>
      <c r="AJ56" s="4"/>
      <c r="AK56" s="195"/>
      <c r="AL56" s="4"/>
      <c r="AM56" s="4"/>
      <c r="AN56" s="4"/>
      <c r="AO56" s="4"/>
      <c r="AP56" s="4"/>
      <c r="AQ56" s="4"/>
      <c r="AR56" s="4"/>
      <c r="AS56" s="4"/>
      <c r="AT56" s="4"/>
      <c r="AU56" s="4"/>
      <c r="AV56" s="4"/>
      <c r="AW56" s="4"/>
      <c r="AX56" s="4"/>
      <c r="AY56" s="4"/>
      <c r="AZ56" s="4"/>
      <c r="BA56" s="4"/>
      <c r="BB56" s="4"/>
      <c r="BC56" s="4"/>
    </row>
    <row r="57" spans="1:55" x14ac:dyDescent="0.2">
      <c r="F57"/>
      <c r="M57"/>
      <c r="T57"/>
      <c r="Y57" s="168"/>
      <c r="AA57" s="187"/>
      <c r="AB57" s="170"/>
      <c r="AC57" s="170"/>
      <c r="AD57" s="170"/>
      <c r="AE57" s="170"/>
      <c r="AF57" s="170"/>
      <c r="AG57" s="170"/>
      <c r="AH57" s="170"/>
      <c r="AJ57" s="170"/>
      <c r="AK57" s="170"/>
      <c r="AL57" s="170"/>
      <c r="AM57" s="170"/>
      <c r="AN57" s="170"/>
    </row>
    <row r="58" spans="1:55" x14ac:dyDescent="0.2">
      <c r="F58"/>
      <c r="M58"/>
      <c r="T58"/>
      <c r="AK58" s="195"/>
    </row>
    <row r="59" spans="1:55" x14ac:dyDescent="0.2">
      <c r="F59"/>
      <c r="M59"/>
      <c r="T59"/>
      <c r="AK59" s="195"/>
    </row>
    <row r="60" spans="1:55" x14ac:dyDescent="0.2">
      <c r="AK60" s="195"/>
    </row>
  </sheetData>
  <sheetProtection selectLockedCells="1"/>
  <mergeCells count="20">
    <mergeCell ref="AT6:BB6"/>
    <mergeCell ref="AT8:AX8"/>
    <mergeCell ref="AY8:BB8"/>
    <mergeCell ref="Y37:AQ45"/>
    <mergeCell ref="C43:H43"/>
    <mergeCell ref="C44:H45"/>
    <mergeCell ref="AT45:AW45"/>
    <mergeCell ref="AY45:BB45"/>
    <mergeCell ref="B2:G6"/>
    <mergeCell ref="AT2:BB4"/>
    <mergeCell ref="C28:U39"/>
    <mergeCell ref="J6:N6"/>
    <mergeCell ref="C10:U19"/>
    <mergeCell ref="AT10:AV10"/>
    <mergeCell ref="AW10:BB10"/>
    <mergeCell ref="AT12:BB13"/>
    <mergeCell ref="AT14:BB40"/>
    <mergeCell ref="C21:U26"/>
    <mergeCell ref="J2:AQ4"/>
    <mergeCell ref="O6:AQ6"/>
  </mergeCells>
  <conditionalFormatting sqref="C8 O9 C41 AS13 C20">
    <cfRule type="cellIs" dxfId="11" priority="12" stopIfTrue="1" operator="equal">
      <formula>#REF!</formula>
    </cfRule>
  </conditionalFormatting>
  <conditionalFormatting sqref="AT6">
    <cfRule type="cellIs" dxfId="10" priority="8" operator="equal">
      <formula>$AU$7</formula>
    </cfRule>
    <cfRule type="cellIs" dxfId="9" priority="9" stopIfTrue="1" operator="equal">
      <formula>$AV$7</formula>
    </cfRule>
    <cfRule type="cellIs" dxfId="8" priority="10" stopIfTrue="1" operator="equal">
      <formula>$AW$7</formula>
    </cfRule>
    <cfRule type="cellIs" dxfId="7" priority="11" stopIfTrue="1" operator="equal">
      <formula>$AX$7</formula>
    </cfRule>
  </conditionalFormatting>
  <conditionalFormatting sqref="AT6:BB6">
    <cfRule type="cellIs" dxfId="6" priority="4" operator="equal">
      <formula>$BB$7</formula>
    </cfRule>
    <cfRule type="cellIs" dxfId="5" priority="5" operator="equal">
      <formula>$BA$7</formula>
    </cfRule>
    <cfRule type="cellIs" dxfId="4" priority="6" operator="equal">
      <formula>$AZ$7</formula>
    </cfRule>
    <cfRule type="cellIs" dxfId="3" priority="7" operator="equal">
      <formula>$AY$7</formula>
    </cfRule>
  </conditionalFormatting>
  <conditionalFormatting sqref="O6">
    <cfRule type="cellIs" dxfId="2" priority="3" stopIfTrue="1" operator="equal">
      <formula>#REF!</formula>
    </cfRule>
  </conditionalFormatting>
  <conditionalFormatting sqref="O6">
    <cfRule type="cellIs" dxfId="1" priority="2" stopIfTrue="1" operator="equal">
      <formula>#REF!</formula>
    </cfRule>
  </conditionalFormatting>
  <conditionalFormatting sqref="O6">
    <cfRule type="cellIs" dxfId="0" priority="1" stopIfTrue="1" operator="equal">
      <formula>#REF!</formula>
    </cfRule>
  </conditionalFormatting>
  <dataValidations count="1">
    <dataValidation type="list" allowBlank="1" showInputMessage="1" showErrorMessage="1" sqref="AT6:BB6" xr:uid="{00000000-0002-0000-0200-000000000000}">
      <formula1>$AT$7:$BB$7</formula1>
    </dataValidation>
  </dataValidations>
  <hyperlinks>
    <hyperlink ref="C44" r:id="rId1" xr:uid="{00000000-0004-0000-0200-000000000000}"/>
  </hyperlinks>
  <printOptions horizontalCentered="1" verticalCentered="1"/>
  <pageMargins left="0.78740157480314965" right="0.19685039370078741" top="0.19685039370078741" bottom="0.19685039370078741" header="0" footer="0"/>
  <pageSetup paperSize="8" scale="97" orientation="landscape" r:id="rId2"/>
  <headerFooter alignWithMargins="0"/>
  <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Questionnaire</vt:lpstr>
      <vt:lpstr>Team Roles Profile</vt:lpstr>
      <vt:lpstr>Belbin</vt:lpstr>
      <vt:lpstr>Belbin!Print_Area</vt:lpstr>
      <vt:lpstr>Questionnaire!Print_Area</vt:lpstr>
      <vt:lpstr>'Team Roles Profile'!Print_Area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Belbin Team Roles</dc:title>
  <dc:creator>Ward</dc:creator>
  <cp:lastModifiedBy>pcook342</cp:lastModifiedBy>
  <dcterms:created xsi:type="dcterms:W3CDTF">2013-07-21T04:21:02Z</dcterms:created>
  <dcterms:modified xsi:type="dcterms:W3CDTF">2020-03-03T14:39:37Z</dcterms:modified>
  <cp:category>A3 - Template</cp:category>
</cp:coreProperties>
</file>